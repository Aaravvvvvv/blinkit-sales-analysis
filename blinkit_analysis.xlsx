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drawings/drawing3.xml" ContentType="application/vnd.openxmlformats-officedocument.drawing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7.xml" ContentType="application/vnd.openxmlformats-officedocument.drawing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rav\blinkit\"/>
    </mc:Choice>
  </mc:AlternateContent>
  <xr:revisionPtr revIDLastSave="0" documentId="13_ncr:1_{35462D5C-052A-4A35-8F45-B11675B90D3A}" xr6:coauthVersionLast="47" xr6:coauthVersionMax="47" xr10:uidLastSave="{00000000-0000-0000-0000-000000000000}"/>
  <bookViews>
    <workbookView xWindow="-108" yWindow="-108" windowWidth="23256" windowHeight="13896" tabRatio="792" firstSheet="8" activeTab="9" xr2:uid="{4686852F-13E3-453B-9E53-089F3471A997}"/>
  </bookViews>
  <sheets>
    <sheet name="total_revenue" sheetId="3" r:id="rId1"/>
    <sheet name="delivery_status" sheetId="4" r:id="rId2"/>
    <sheet name="monthly_revenue_trend" sheetId="5" r:id="rId3"/>
    <sheet name="rank_products" sheetId="7" r:id="rId4"/>
    <sheet name="payment_method_analysis" sheetId="6" r:id="rId5"/>
    <sheet name="revenue_and_margin_by_category" sheetId="8" r:id="rId6"/>
    <sheet name="revenue_by_category" sheetId="9" r:id="rId7"/>
    <sheet name="top_10_revenue_by_category" sheetId="11" r:id="rId8"/>
    <sheet name="pareto_analysis" sheetId="12" r:id="rId9"/>
    <sheet name="Sheet1" sheetId="1" r:id="rId10"/>
    <sheet name="customer_segments" sheetId="14" r:id="rId11"/>
    <sheet name="top_areas" sheetId="15" r:id="rId12"/>
    <sheet name="segment_window" sheetId="16" r:id="rId13"/>
    <sheet name="Sheet3" sheetId="13" r:id="rId14"/>
    <sheet name="Sheet2" sheetId="2" r:id="rId15"/>
  </sheets>
  <definedNames>
    <definedName name="ExternalData_1" localSheetId="10" hidden="1">'customer_segments'!$A$1:$D$5</definedName>
    <definedName name="ExternalData_1" localSheetId="1" hidden="1">delivery_status!$A$1:$C$4</definedName>
    <definedName name="ExternalData_1" localSheetId="2" hidden="1">monthly_revenue_trend!$A$1:$C$22</definedName>
    <definedName name="ExternalData_1" localSheetId="8" hidden="1">pareto_analysis!$A$1:$D$52</definedName>
    <definedName name="ExternalData_1" localSheetId="4" hidden="1">payment_method_analysis!$A$1:$D$5</definedName>
    <definedName name="ExternalData_1" localSheetId="5" hidden="1">'revenue_and_margin_by_category'!$A$1:$D$12</definedName>
    <definedName name="ExternalData_1" localSheetId="6" hidden="1">'revenue_by_category'!$A$1:$B$12</definedName>
    <definedName name="ExternalData_1" localSheetId="12" hidden="1">segment_window!$A$1:$D$5</definedName>
    <definedName name="ExternalData_1" localSheetId="7" hidden="1">top_10_revenue_by_category!$A$1:$C$11</definedName>
    <definedName name="ExternalData_1" localSheetId="11" hidden="1">top_areas!$A$1:$C$11</definedName>
    <definedName name="ExternalData_1" localSheetId="0" hidden="1">total_revenue!$A$1:$A$2</definedName>
    <definedName name="ExternalData_2" localSheetId="3" hidden="1">'rank_products'!$A$1:$D$52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BE21366-D22F-478A-A6F7-558C7FB2955B}" keepAlive="1" name="Query - customer_segments" description="Connection to the 'customer_segments' query in the workbook." type="5" refreshedVersion="8" background="1" saveData="1">
    <dbPr connection="Provider=Microsoft.Mashup.OleDb.1;Data Source=$Workbook$;Location=customer_segments;Extended Properties=&quot;&quot;" command="SELECT * FROM [customer_segments]"/>
  </connection>
  <connection id="2" xr16:uid="{AF9AF537-06B9-436A-A664-C019AF8FC044}" keepAlive="1" name="Query - delivery_status" description="Connection to the 'delivery_status' query in the workbook." type="5" refreshedVersion="8" background="1" saveData="1">
    <dbPr connection="Provider=Microsoft.Mashup.OleDb.1;Data Source=$Workbook$;Location=delivery_status;Extended Properties=&quot;&quot;" command="SELECT * FROM [delivery_status]"/>
  </connection>
  <connection id="3" xr16:uid="{4FCF8A1A-F071-4E0C-8903-FF69E95FA1B9}" keepAlive="1" name="Query - monthly_revenue_trend" description="Connection to the 'monthly_revenue_trend' query in the workbook." type="5" refreshedVersion="8" background="1" saveData="1">
    <dbPr connection="Provider=Microsoft.Mashup.OleDb.1;Data Source=$Workbook$;Location=monthly_revenue_trend;Extended Properties=&quot;&quot;" command="SELECT * FROM [monthly_revenue_trend]"/>
  </connection>
  <connection id="4" xr16:uid="{899472B6-FA0D-4347-853F-AAD8F1BF3185}" keepAlive="1" name="Query - pareto_analysis" description="Connection to the 'pareto_analysis' query in the workbook." type="5" refreshedVersion="8" background="1" saveData="1">
    <dbPr connection="Provider=Microsoft.Mashup.OleDb.1;Data Source=$Workbook$;Location=pareto_analysis;Extended Properties=&quot;&quot;" command="SELECT * FROM [pareto_analysis]"/>
  </connection>
  <connection id="5" xr16:uid="{CF86BD53-9682-40BE-BAF5-85CD8D65181C}" keepAlive="1" name="Query - payment_method_analysis" description="Connection to the 'payment_method_analysis' query in the workbook." type="5" refreshedVersion="8" background="1" saveData="1">
    <dbPr connection="Provider=Microsoft.Mashup.OleDb.1;Data Source=$Workbook$;Location=payment_method_analysis;Extended Properties=&quot;&quot;" command="SELECT * FROM [payment_method_analysis]"/>
  </connection>
  <connection id="6" xr16:uid="{6D92AC25-C0A3-4269-8B8B-93A01D791231}" keepAlive="1" name="Query - rank_products" description="Connection to the 'rank_products' query in the workbook." type="5" refreshedVersion="8" background="1" saveData="1">
    <dbPr connection="Provider=Microsoft.Mashup.OleDb.1;Data Source=$Workbook$;Location=rank_products;Extended Properties=&quot;&quot;" command="SELECT * FROM [rank_products]"/>
  </connection>
  <connection id="7" xr16:uid="{50B487B0-8DE6-4D53-A169-309D6F6C9E64}" keepAlive="1" name="Query - rank_products (2)" description="Connection to the 'rank_products (2)' query in the workbook." type="5" refreshedVersion="0" background="1">
    <dbPr connection="Provider=Microsoft.Mashup.OleDb.1;Data Source=$Workbook$;Location=&quot;rank_products (2)&quot;;Extended Properties=&quot;&quot;" command="SELECT * FROM [rank_products (2)]"/>
  </connection>
  <connection id="8" xr16:uid="{9DCB3530-F789-4113-A44D-E0F5B8FB1109}" keepAlive="1" name="Query - revenue_and_margin_by_category" description="Connection to the 'revenue_and_margin_by_category' query in the workbook." type="5" refreshedVersion="8" background="1" saveData="1">
    <dbPr connection="Provider=Microsoft.Mashup.OleDb.1;Data Source=$Workbook$;Location=revenue_and_margin_by_category;Extended Properties=&quot;&quot;" command="SELECT * FROM [revenue_and_margin_by_category]"/>
  </connection>
  <connection id="9" xr16:uid="{617A719E-AA9B-4674-AC9D-8A7BEA69F47C}" keepAlive="1" name="Query - revenue_by_category" description="Connection to the 'revenue_by_category' query in the workbook." type="5" refreshedVersion="8" background="1" saveData="1">
    <dbPr connection="Provider=Microsoft.Mashup.OleDb.1;Data Source=$Workbook$;Location=revenue_by_category;Extended Properties=&quot;&quot;" command="SELECT * FROM [revenue_by_category]"/>
  </connection>
  <connection id="10" xr16:uid="{042A5BBA-7F8A-46EE-90A5-378D96D3A3DB}" keepAlive="1" name="Query - segment_window" description="Connection to the 'segment_window' query in the workbook." type="5" refreshedVersion="8" background="1" saveData="1">
    <dbPr connection="Provider=Microsoft.Mashup.OleDb.1;Data Source=$Workbook$;Location=segment_window;Extended Properties=&quot;&quot;" command="SELECT * FROM [segment_window]"/>
  </connection>
  <connection id="11" xr16:uid="{3A791297-7033-43D7-9AA8-CA9CAEE2991F}" keepAlive="1" name="Query - top_10_revenue_by_category" description="Connection to the 'top_10_revenue_by_category' query in the workbook." type="5" refreshedVersion="8" background="1" saveData="1">
    <dbPr connection="Provider=Microsoft.Mashup.OleDb.1;Data Source=$Workbook$;Location=top_10_revenue_by_category;Extended Properties=&quot;&quot;" command="SELECT * FROM [top_10_revenue_by_category]"/>
  </connection>
  <connection id="12" xr16:uid="{3AEE2551-FE02-403B-8C09-54C433689F0B}" keepAlive="1" name="Query - top_areas" description="Connection to the 'top_areas' query in the workbook." type="5" refreshedVersion="8" background="1" saveData="1">
    <dbPr connection="Provider=Microsoft.Mashup.OleDb.1;Data Source=$Workbook$;Location=top_areas;Extended Properties=&quot;&quot;" command="SELECT * FROM [top_areas]"/>
  </connection>
  <connection id="13" xr16:uid="{F501E715-6D24-4280-8D84-32807053A0DA}" keepAlive="1" name="Query - total_revenue" description="Connection to the 'total_revenue' query in the workbook." type="5" refreshedVersion="8" background="1" saveData="1">
    <dbPr connection="Provider=Microsoft.Mashup.OleDb.1;Data Source=$Workbook$;Location=total_revenue;Extended Properties=&quot;&quot;" command="SELECT * FROM [total_revenue]"/>
  </connection>
</connections>
</file>

<file path=xl/sharedStrings.xml><?xml version="1.0" encoding="utf-8"?>
<sst xmlns="http://schemas.openxmlformats.org/spreadsheetml/2006/main" count="310" uniqueCount="103">
  <si>
    <t>total_revenue</t>
  </si>
  <si>
    <t>delivery_status</t>
  </si>
  <si>
    <t>total_orders</t>
  </si>
  <si>
    <t>percentage</t>
  </si>
  <si>
    <t>On Time</t>
  </si>
  <si>
    <t>Slightly Delayed</t>
  </si>
  <si>
    <t>Significantly Delayed</t>
  </si>
  <si>
    <t>month</t>
  </si>
  <si>
    <t>monthly_revenue</t>
  </si>
  <si>
    <t>payment_method</t>
  </si>
  <si>
    <t>avg_order_value</t>
  </si>
  <si>
    <t>Card</t>
  </si>
  <si>
    <t>Cash</t>
  </si>
  <si>
    <t>UPI</t>
  </si>
  <si>
    <t>Wallet</t>
  </si>
  <si>
    <t>category</t>
  </si>
  <si>
    <t>product_name</t>
  </si>
  <si>
    <t>revenue</t>
  </si>
  <si>
    <t>rank_in_category</t>
  </si>
  <si>
    <t>Baby Care</t>
  </si>
  <si>
    <t>Baby Wipes</t>
  </si>
  <si>
    <t>Baby Food</t>
  </si>
  <si>
    <t>Diapers</t>
  </si>
  <si>
    <t>Cold Drinks &amp; Juices</t>
  </si>
  <si>
    <t>Cola</t>
  </si>
  <si>
    <t>Orange Juice</t>
  </si>
  <si>
    <t>Iced Tea</t>
  </si>
  <si>
    <t>Mango Drink</t>
  </si>
  <si>
    <t>Lemonade</t>
  </si>
  <si>
    <t>Dairy &amp; Breakfast</t>
  </si>
  <si>
    <t>Butter</t>
  </si>
  <si>
    <t>Eggs</t>
  </si>
  <si>
    <t>Bread</t>
  </si>
  <si>
    <t>Cheese</t>
  </si>
  <si>
    <t>Curd</t>
  </si>
  <si>
    <t>Milk</t>
  </si>
  <si>
    <t>Cereal</t>
  </si>
  <si>
    <t>Fruits &amp; Vegetables</t>
  </si>
  <si>
    <t>Onions</t>
  </si>
  <si>
    <t>Carrots</t>
  </si>
  <si>
    <t>Potatoes</t>
  </si>
  <si>
    <t>Mangoes</t>
  </si>
  <si>
    <t>Tomatoes</t>
  </si>
  <si>
    <t>Spinach</t>
  </si>
  <si>
    <t>Bananas</t>
  </si>
  <si>
    <t>Grocery &amp; Staples</t>
  </si>
  <si>
    <t>Pulses</t>
  </si>
  <si>
    <t>Wheat Flour</t>
  </si>
  <si>
    <t>Sugar</t>
  </si>
  <si>
    <t>Salt</t>
  </si>
  <si>
    <t>Rice</t>
  </si>
  <si>
    <t>Household Care</t>
  </si>
  <si>
    <t>Dish Soap</t>
  </si>
  <si>
    <t>Toilet Cleaner</t>
  </si>
  <si>
    <t>Detergent</t>
  </si>
  <si>
    <t>Instant &amp; Frozen Food</t>
  </si>
  <si>
    <t>Frozen Biryani</t>
  </si>
  <si>
    <t>Ice Cream</t>
  </si>
  <si>
    <t>Frozen Pizza</t>
  </si>
  <si>
    <t>Frozen Vegetables</t>
  </si>
  <si>
    <t>Instant Noodles</t>
  </si>
  <si>
    <t>Personal Care</t>
  </si>
  <si>
    <t>Lotion</t>
  </si>
  <si>
    <t>Soap</t>
  </si>
  <si>
    <t>Shampoo</t>
  </si>
  <si>
    <t>Toothpaste</t>
  </si>
  <si>
    <t>Pet Care</t>
  </si>
  <si>
    <t>Pet Treats</t>
  </si>
  <si>
    <t>Dog Food</t>
  </si>
  <si>
    <t>Cat Food</t>
  </si>
  <si>
    <t>Pharmacy</t>
  </si>
  <si>
    <t>Vitamins</t>
  </si>
  <si>
    <t>Cough Syrup</t>
  </si>
  <si>
    <t>Pain Reliever</t>
  </si>
  <si>
    <t>Snacks &amp; Munchies</t>
  </si>
  <si>
    <t>Biscuits</t>
  </si>
  <si>
    <t>Nuts</t>
  </si>
  <si>
    <t>Popcorn</t>
  </si>
  <si>
    <t>Cookies</t>
  </si>
  <si>
    <t>Chocolates</t>
  </si>
  <si>
    <t>Chips</t>
  </si>
  <si>
    <t>avg_margin</t>
  </si>
  <si>
    <t>estimated_profit</t>
  </si>
  <si>
    <t>product_revenue</t>
  </si>
  <si>
    <t>cumulative_percentage</t>
  </si>
  <si>
    <t>customer_segment</t>
  </si>
  <si>
    <t>total_customers</t>
  </si>
  <si>
    <t>New</t>
  </si>
  <si>
    <t>Inactive</t>
  </si>
  <si>
    <t>Premium</t>
  </si>
  <si>
    <t>Regular</t>
  </si>
  <si>
    <t>area</t>
  </si>
  <si>
    <t>Jalna</t>
  </si>
  <si>
    <t>Orai</t>
  </si>
  <si>
    <t>Deoghar</t>
  </si>
  <si>
    <t>Bathinda</t>
  </si>
  <si>
    <t>Ghaziabad</t>
  </si>
  <si>
    <t>Ratlam</t>
  </si>
  <si>
    <t>Kishanganj</t>
  </si>
  <si>
    <t>Kadapa</t>
  </si>
  <si>
    <t>Kalyan-Dombivli</t>
  </si>
  <si>
    <t>Gandhinagar</t>
  </si>
  <si>
    <t>pct_of_avg_value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</si>
</sst>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Order Delivery Performance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delivery_status!$B$1</c:f>
              <c:strCache>
                <c:ptCount val="1"/>
                <c:pt idx="0">
                  <c:v>total_orders</c:v>
                </c:pt>
              </c:strCache>
            </c:strRef>
          </c:tx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1CC-41C1-94C0-592F0C0C4EF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91CC-41C1-94C0-592F0C0C4EF4}"/>
              </c:ext>
            </c:extLst>
          </c:dPt>
          <c:dLbls>
            <c:dLbl>
              <c:idx val="2"/>
              <c:layout>
                <c:manualLayout>
                  <c:x val="-0.10555555555555556"/>
                  <c:y val="4.629629629629629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1CC-41C1-94C0-592F0C0C4EF4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delivery_status!$A$2:$A$4</c:f>
              <c:strCache>
                <c:ptCount val="3"/>
                <c:pt idx="0">
                  <c:v>On Time</c:v>
                </c:pt>
                <c:pt idx="1">
                  <c:v>Slightly Delayed</c:v>
                </c:pt>
                <c:pt idx="2">
                  <c:v>Significantly Delayed</c:v>
                </c:pt>
              </c:strCache>
            </c:strRef>
          </c:cat>
          <c:val>
            <c:numRef>
              <c:f>delivery_status!$B$2:$B$4</c:f>
              <c:numCache>
                <c:formatCode>General</c:formatCode>
                <c:ptCount val="3"/>
                <c:pt idx="0">
                  <c:v>741</c:v>
                </c:pt>
                <c:pt idx="1">
                  <c:v>222</c:v>
                </c:pt>
                <c:pt idx="2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CC-41C1-94C0-592F0C0C4EF4}"/>
            </c:ext>
          </c:extLst>
        </c:ser>
        <c:ser>
          <c:idx val="1"/>
          <c:order val="1"/>
          <c:tx>
            <c:strRef>
              <c:f>delivery_status!$C$1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delivery_status!$A$2:$A$4</c:f>
              <c:strCache>
                <c:ptCount val="3"/>
                <c:pt idx="0">
                  <c:v>On Time</c:v>
                </c:pt>
                <c:pt idx="1">
                  <c:v>Slightly Delayed</c:v>
                </c:pt>
                <c:pt idx="2">
                  <c:v>Significantly Delayed</c:v>
                </c:pt>
              </c:strCache>
            </c:strRef>
          </c:cat>
          <c:val>
            <c:numRef>
              <c:f>delivery_status!$C$2:$C$4</c:f>
              <c:numCache>
                <c:formatCode>General</c:formatCode>
                <c:ptCount val="3"/>
                <c:pt idx="0">
                  <c:v>69.84</c:v>
                </c:pt>
                <c:pt idx="1">
                  <c:v>20.92</c:v>
                </c:pt>
                <c:pt idx="2">
                  <c:v>9.24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CC-41C1-94C0-592F0C0C4E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Revenue Trend 2023-2024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monthly_revenue_trend!$C$1</c:f>
              <c:strCache>
                <c:ptCount val="1"/>
                <c:pt idx="0">
                  <c:v>monthly_revenue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monthly_revenue_trend!$A$2:$A$22</c:f>
              <c:numCache>
                <c:formatCode>m/d/yyyy</c:formatCode>
                <c:ptCount val="21"/>
                <c:pt idx="0">
                  <c:v>44986</c:v>
                </c:pt>
                <c:pt idx="1">
                  <c:v>45017</c:v>
                </c:pt>
                <c:pt idx="2">
                  <c:v>45047</c:v>
                </c:pt>
                <c:pt idx="3">
                  <c:v>45078</c:v>
                </c:pt>
                <c:pt idx="4">
                  <c:v>45108</c:v>
                </c:pt>
                <c:pt idx="5">
                  <c:v>45139</c:v>
                </c:pt>
                <c:pt idx="6">
                  <c:v>45170</c:v>
                </c:pt>
                <c:pt idx="7">
                  <c:v>45200</c:v>
                </c:pt>
                <c:pt idx="8">
                  <c:v>45231</c:v>
                </c:pt>
                <c:pt idx="9">
                  <c:v>45261</c:v>
                </c:pt>
                <c:pt idx="10">
                  <c:v>45292</c:v>
                </c:pt>
                <c:pt idx="11">
                  <c:v>45323</c:v>
                </c:pt>
                <c:pt idx="12">
                  <c:v>45352</c:v>
                </c:pt>
                <c:pt idx="13">
                  <c:v>45383</c:v>
                </c:pt>
                <c:pt idx="14">
                  <c:v>45413</c:v>
                </c:pt>
                <c:pt idx="15">
                  <c:v>45444</c:v>
                </c:pt>
                <c:pt idx="16">
                  <c:v>45474</c:v>
                </c:pt>
                <c:pt idx="17">
                  <c:v>45505</c:v>
                </c:pt>
                <c:pt idx="18">
                  <c:v>45536</c:v>
                </c:pt>
                <c:pt idx="19">
                  <c:v>45566</c:v>
                </c:pt>
                <c:pt idx="20">
                  <c:v>45597</c:v>
                </c:pt>
              </c:numCache>
            </c:numRef>
          </c:cat>
          <c:val>
            <c:numRef>
              <c:f>monthly_revenue_trend!$C$2:$C$22</c:f>
              <c:numCache>
                <c:formatCode>General</c:formatCode>
                <c:ptCount val="21"/>
                <c:pt idx="0">
                  <c:v>62353.21</c:v>
                </c:pt>
                <c:pt idx="1">
                  <c:v>109489.05</c:v>
                </c:pt>
                <c:pt idx="2">
                  <c:v>126471.28</c:v>
                </c:pt>
                <c:pt idx="3">
                  <c:v>94053.52</c:v>
                </c:pt>
                <c:pt idx="4">
                  <c:v>121307.7</c:v>
                </c:pt>
                <c:pt idx="5">
                  <c:v>120834.43</c:v>
                </c:pt>
                <c:pt idx="6">
                  <c:v>132979.32999999999</c:v>
                </c:pt>
                <c:pt idx="7">
                  <c:v>120063.4</c:v>
                </c:pt>
                <c:pt idx="8">
                  <c:v>100597.99</c:v>
                </c:pt>
                <c:pt idx="9">
                  <c:v>138020.1</c:v>
                </c:pt>
                <c:pt idx="10">
                  <c:v>99148.79</c:v>
                </c:pt>
                <c:pt idx="11">
                  <c:v>102439.22</c:v>
                </c:pt>
                <c:pt idx="12">
                  <c:v>124781.17</c:v>
                </c:pt>
                <c:pt idx="13">
                  <c:v>123338.72</c:v>
                </c:pt>
                <c:pt idx="14">
                  <c:v>130870.37</c:v>
                </c:pt>
                <c:pt idx="15">
                  <c:v>137359.97</c:v>
                </c:pt>
                <c:pt idx="16">
                  <c:v>134452.85999999999</c:v>
                </c:pt>
                <c:pt idx="17">
                  <c:v>138296.53</c:v>
                </c:pt>
                <c:pt idx="18">
                  <c:v>115816.33</c:v>
                </c:pt>
                <c:pt idx="19">
                  <c:v>120083.43</c:v>
                </c:pt>
                <c:pt idx="20">
                  <c:v>10542.1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97-4F46-97EB-F24F0BDA4D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1600943"/>
        <c:axId val="921598543"/>
      </c:lineChart>
      <c:dateAx>
        <c:axId val="92160094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598543"/>
        <c:crosses val="autoZero"/>
        <c:auto val="1"/>
        <c:lblOffset val="100"/>
        <c:baseTimeUnit val="months"/>
      </c:dateAx>
      <c:valAx>
        <c:axId val="921598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600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Revenue vs Estimated Profit by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'revenue_and_margin_by_category'!$B$1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'revenue_and_margin_by_category'!$A$2:$A$12</c:f>
              <c:strCache>
                <c:ptCount val="11"/>
                <c:pt idx="0">
                  <c:v>Pet Care</c:v>
                </c:pt>
                <c:pt idx="1">
                  <c:v>Fruits &amp; Vegetables</c:v>
                </c:pt>
                <c:pt idx="2">
                  <c:v>Snacks &amp; Munchies</c:v>
                </c:pt>
                <c:pt idx="3">
                  <c:v>Dairy &amp; Breakfast</c:v>
                </c:pt>
                <c:pt idx="4">
                  <c:v>Pharmacy</c:v>
                </c:pt>
                <c:pt idx="5">
                  <c:v>Cold Drinks &amp; Juices</c:v>
                </c:pt>
                <c:pt idx="6">
                  <c:v>Instant &amp; Frozen Food</c:v>
                </c:pt>
                <c:pt idx="7">
                  <c:v>Baby Care</c:v>
                </c:pt>
                <c:pt idx="8">
                  <c:v>Personal Care</c:v>
                </c:pt>
                <c:pt idx="9">
                  <c:v>Household Care</c:v>
                </c:pt>
                <c:pt idx="10">
                  <c:v>Grocery &amp; Staples</c:v>
                </c:pt>
              </c:strCache>
            </c:strRef>
          </c:cat>
          <c:val>
            <c:numRef>
              <c:f>'revenue_and_margin_by_category'!$B$2:$B$12</c:f>
              <c:numCache>
                <c:formatCode>General</c:formatCode>
                <c:ptCount val="11"/>
                <c:pt idx="0">
                  <c:v>96031.9</c:v>
                </c:pt>
                <c:pt idx="1">
                  <c:v>130902.58</c:v>
                </c:pt>
                <c:pt idx="2">
                  <c:v>84487.7</c:v>
                </c:pt>
                <c:pt idx="3">
                  <c:v>146792.34</c:v>
                </c:pt>
                <c:pt idx="4">
                  <c:v>145334</c:v>
                </c:pt>
                <c:pt idx="5">
                  <c:v>85835.21</c:v>
                </c:pt>
                <c:pt idx="6">
                  <c:v>60494.42</c:v>
                </c:pt>
                <c:pt idx="7">
                  <c:v>80018.649999999994</c:v>
                </c:pt>
                <c:pt idx="8">
                  <c:v>64781.02</c:v>
                </c:pt>
                <c:pt idx="9">
                  <c:v>76378.850000000006</c:v>
                </c:pt>
                <c:pt idx="10">
                  <c:v>71961.55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A4-4410-A71B-E3E70C3E503C}"/>
            </c:ext>
          </c:extLst>
        </c:ser>
        <c:ser>
          <c:idx val="1"/>
          <c:order val="1"/>
          <c:tx>
            <c:strRef>
              <c:f>'revenue_and_margin_by_category'!$C$1</c:f>
              <c:strCache>
                <c:ptCount val="1"/>
                <c:pt idx="0">
                  <c:v>avg_margin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'revenue_and_margin_by_category'!$A$2:$A$12</c:f>
              <c:strCache>
                <c:ptCount val="11"/>
                <c:pt idx="0">
                  <c:v>Pet Care</c:v>
                </c:pt>
                <c:pt idx="1">
                  <c:v>Fruits &amp; Vegetables</c:v>
                </c:pt>
                <c:pt idx="2">
                  <c:v>Snacks &amp; Munchies</c:v>
                </c:pt>
                <c:pt idx="3">
                  <c:v>Dairy &amp; Breakfast</c:v>
                </c:pt>
                <c:pt idx="4">
                  <c:v>Pharmacy</c:v>
                </c:pt>
                <c:pt idx="5">
                  <c:v>Cold Drinks &amp; Juices</c:v>
                </c:pt>
                <c:pt idx="6">
                  <c:v>Instant &amp; Frozen Food</c:v>
                </c:pt>
                <c:pt idx="7">
                  <c:v>Baby Care</c:v>
                </c:pt>
                <c:pt idx="8">
                  <c:v>Personal Care</c:v>
                </c:pt>
                <c:pt idx="9">
                  <c:v>Household Care</c:v>
                </c:pt>
                <c:pt idx="10">
                  <c:v>Grocery &amp; Staples</c:v>
                </c:pt>
              </c:strCache>
            </c:strRef>
          </c:cat>
          <c:val>
            <c:numRef>
              <c:f>'revenue_and_margin_by_category'!$C$2:$C$12</c:f>
              <c:numCache>
                <c:formatCode>General</c:formatCode>
                <c:ptCount val="11"/>
                <c:pt idx="0">
                  <c:v>35</c:v>
                </c:pt>
                <c:pt idx="1">
                  <c:v>25</c:v>
                </c:pt>
                <c:pt idx="2">
                  <c:v>35</c:v>
                </c:pt>
                <c:pt idx="3">
                  <c:v>20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30</c:v>
                </c:pt>
                <c:pt idx="8">
                  <c:v>35</c:v>
                </c:pt>
                <c:pt idx="9">
                  <c:v>25</c:v>
                </c:pt>
                <c:pt idx="10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A4-4410-A71B-E3E70C3E503C}"/>
            </c:ext>
          </c:extLst>
        </c:ser>
        <c:ser>
          <c:idx val="2"/>
          <c:order val="2"/>
          <c:tx>
            <c:strRef>
              <c:f>'revenue_and_margin_by_category'!$D$1</c:f>
              <c:strCache>
                <c:ptCount val="1"/>
                <c:pt idx="0">
                  <c:v>estimated_profit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'revenue_and_margin_by_category'!$A$2:$A$12</c:f>
              <c:strCache>
                <c:ptCount val="11"/>
                <c:pt idx="0">
                  <c:v>Pet Care</c:v>
                </c:pt>
                <c:pt idx="1">
                  <c:v>Fruits &amp; Vegetables</c:v>
                </c:pt>
                <c:pt idx="2">
                  <c:v>Snacks &amp; Munchies</c:v>
                </c:pt>
                <c:pt idx="3">
                  <c:v>Dairy &amp; Breakfast</c:v>
                </c:pt>
                <c:pt idx="4">
                  <c:v>Pharmacy</c:v>
                </c:pt>
                <c:pt idx="5">
                  <c:v>Cold Drinks &amp; Juices</c:v>
                </c:pt>
                <c:pt idx="6">
                  <c:v>Instant &amp; Frozen Food</c:v>
                </c:pt>
                <c:pt idx="7">
                  <c:v>Baby Care</c:v>
                </c:pt>
                <c:pt idx="8">
                  <c:v>Personal Care</c:v>
                </c:pt>
                <c:pt idx="9">
                  <c:v>Household Care</c:v>
                </c:pt>
                <c:pt idx="10">
                  <c:v>Grocery &amp; Staples</c:v>
                </c:pt>
              </c:strCache>
            </c:strRef>
          </c:cat>
          <c:val>
            <c:numRef>
              <c:f>'revenue_and_margin_by_category'!$D$2:$D$12</c:f>
              <c:numCache>
                <c:formatCode>General</c:formatCode>
                <c:ptCount val="11"/>
                <c:pt idx="0">
                  <c:v>33611.17</c:v>
                </c:pt>
                <c:pt idx="1">
                  <c:v>32725.65</c:v>
                </c:pt>
                <c:pt idx="2">
                  <c:v>29570.7</c:v>
                </c:pt>
                <c:pt idx="3">
                  <c:v>29358.47</c:v>
                </c:pt>
                <c:pt idx="4">
                  <c:v>29066.799999999999</c:v>
                </c:pt>
                <c:pt idx="5">
                  <c:v>25750.560000000001</c:v>
                </c:pt>
                <c:pt idx="6">
                  <c:v>24197.77</c:v>
                </c:pt>
                <c:pt idx="7">
                  <c:v>24005.599999999999</c:v>
                </c:pt>
                <c:pt idx="8">
                  <c:v>22673.360000000001</c:v>
                </c:pt>
                <c:pt idx="9">
                  <c:v>19094.71</c:v>
                </c:pt>
                <c:pt idx="10">
                  <c:v>10794.23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A4-4410-A71B-E3E70C3E50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2045183"/>
        <c:axId val="1062044703"/>
      </c:barChart>
      <c:catAx>
        <c:axId val="1062045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044703"/>
        <c:crosses val="autoZero"/>
        <c:auto val="1"/>
        <c:lblAlgn val="ctr"/>
        <c:lblOffset val="100"/>
        <c:noMultiLvlLbl val="0"/>
      </c:catAx>
      <c:valAx>
        <c:axId val="106204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045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Revenue by Product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'revenue_by_category'!$B$1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'revenue_by_category'!$A$2:$A$12</c:f>
              <c:strCache>
                <c:ptCount val="11"/>
                <c:pt idx="0">
                  <c:v>Dairy &amp; Breakfast</c:v>
                </c:pt>
                <c:pt idx="1">
                  <c:v>Pharmacy</c:v>
                </c:pt>
                <c:pt idx="2">
                  <c:v>Fruits &amp; Vegetables</c:v>
                </c:pt>
                <c:pt idx="3">
                  <c:v>Pet Care</c:v>
                </c:pt>
                <c:pt idx="4">
                  <c:v>Cold Drinks &amp; Juices</c:v>
                </c:pt>
                <c:pt idx="5">
                  <c:v>Snacks &amp; Munchies</c:v>
                </c:pt>
                <c:pt idx="6">
                  <c:v>Baby Care</c:v>
                </c:pt>
                <c:pt idx="7">
                  <c:v>Household Care</c:v>
                </c:pt>
                <c:pt idx="8">
                  <c:v>Grocery &amp; Staples</c:v>
                </c:pt>
                <c:pt idx="9">
                  <c:v>Personal Care</c:v>
                </c:pt>
                <c:pt idx="10">
                  <c:v>Instant &amp; Frozen Food</c:v>
                </c:pt>
              </c:strCache>
            </c:strRef>
          </c:cat>
          <c:val>
            <c:numRef>
              <c:f>'revenue_by_category'!$B$2:$B$12</c:f>
              <c:numCache>
                <c:formatCode>General</c:formatCode>
                <c:ptCount val="11"/>
                <c:pt idx="0">
                  <c:v>146792.34</c:v>
                </c:pt>
                <c:pt idx="1">
                  <c:v>145334</c:v>
                </c:pt>
                <c:pt idx="2">
                  <c:v>130902.58</c:v>
                </c:pt>
                <c:pt idx="3">
                  <c:v>96031.9</c:v>
                </c:pt>
                <c:pt idx="4">
                  <c:v>85835.21</c:v>
                </c:pt>
                <c:pt idx="5">
                  <c:v>84487.7</c:v>
                </c:pt>
                <c:pt idx="6">
                  <c:v>80018.649999999994</c:v>
                </c:pt>
                <c:pt idx="7">
                  <c:v>76378.850000000006</c:v>
                </c:pt>
                <c:pt idx="8">
                  <c:v>71961.55</c:v>
                </c:pt>
                <c:pt idx="9">
                  <c:v>64781.02</c:v>
                </c:pt>
                <c:pt idx="10">
                  <c:v>60494.42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2D-4A2C-ADE4-D0E8FDEF02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06361023"/>
        <c:axId val="2104286911"/>
        <c:axId val="0"/>
      </c:bar3DChart>
      <c:catAx>
        <c:axId val="10063610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4286911"/>
        <c:crosses val="autoZero"/>
        <c:auto val="1"/>
        <c:lblAlgn val="ctr"/>
        <c:lblOffset val="100"/>
        <c:noMultiLvlLbl val="0"/>
      </c:catAx>
      <c:valAx>
        <c:axId val="2104286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6361023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Top 10 Products by Revenue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top_10_revenue_by_category!$C$1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top_10_revenue_by_category!$A$2:$A$11</c:f>
              <c:strCache>
                <c:ptCount val="10"/>
                <c:pt idx="0">
                  <c:v>Vitamins</c:v>
                </c:pt>
                <c:pt idx="1">
                  <c:v>Cough Syrup</c:v>
                </c:pt>
                <c:pt idx="2">
                  <c:v>Baby Wipes</c:v>
                </c:pt>
                <c:pt idx="3">
                  <c:v>Butter</c:v>
                </c:pt>
                <c:pt idx="4">
                  <c:v>Pet Treats</c:v>
                </c:pt>
                <c:pt idx="5">
                  <c:v>Pain Reliever</c:v>
                </c:pt>
                <c:pt idx="6">
                  <c:v>Eggs</c:v>
                </c:pt>
                <c:pt idx="7">
                  <c:v>Onions</c:v>
                </c:pt>
                <c:pt idx="8">
                  <c:v>Dish Soap</c:v>
                </c:pt>
                <c:pt idx="9">
                  <c:v>Bread</c:v>
                </c:pt>
              </c:strCache>
            </c:strRef>
          </c:cat>
          <c:val>
            <c:numRef>
              <c:f>top_10_revenue_by_category!$C$2:$C$11</c:f>
              <c:numCache>
                <c:formatCode>General</c:formatCode>
                <c:ptCount val="10"/>
                <c:pt idx="0">
                  <c:v>69931.399999999994</c:v>
                </c:pt>
                <c:pt idx="1">
                  <c:v>40393.47</c:v>
                </c:pt>
                <c:pt idx="2">
                  <c:v>38581.660000000003</c:v>
                </c:pt>
                <c:pt idx="3">
                  <c:v>36956.410000000003</c:v>
                </c:pt>
                <c:pt idx="4">
                  <c:v>36663.31</c:v>
                </c:pt>
                <c:pt idx="5">
                  <c:v>35009.129999999997</c:v>
                </c:pt>
                <c:pt idx="6">
                  <c:v>34547.65</c:v>
                </c:pt>
                <c:pt idx="7">
                  <c:v>34012.22</c:v>
                </c:pt>
                <c:pt idx="8">
                  <c:v>33008.25</c:v>
                </c:pt>
                <c:pt idx="9">
                  <c:v>32850.68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98-4FE2-BC4D-927D5BF7D4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35742975"/>
        <c:axId val="935742495"/>
      </c:barChart>
      <c:catAx>
        <c:axId val="9357429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742495"/>
        <c:crosses val="autoZero"/>
        <c:auto val="1"/>
        <c:lblAlgn val="ctr"/>
        <c:lblOffset val="100"/>
        <c:noMultiLvlLbl val="0"/>
      </c:catAx>
      <c:valAx>
        <c:axId val="9357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742975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Top 10 Products by Revenue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top_10_revenue_by_category!$C$1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top_10_revenue_by_category!$A$2:$A$11</c:f>
              <c:strCache>
                <c:ptCount val="10"/>
                <c:pt idx="0">
                  <c:v>Vitamins</c:v>
                </c:pt>
                <c:pt idx="1">
                  <c:v>Cough Syrup</c:v>
                </c:pt>
                <c:pt idx="2">
                  <c:v>Baby Wipes</c:v>
                </c:pt>
                <c:pt idx="3">
                  <c:v>Butter</c:v>
                </c:pt>
                <c:pt idx="4">
                  <c:v>Pet Treats</c:v>
                </c:pt>
                <c:pt idx="5">
                  <c:v>Pain Reliever</c:v>
                </c:pt>
                <c:pt idx="6">
                  <c:v>Eggs</c:v>
                </c:pt>
                <c:pt idx="7">
                  <c:v>Onions</c:v>
                </c:pt>
                <c:pt idx="8">
                  <c:v>Dish Soap</c:v>
                </c:pt>
                <c:pt idx="9">
                  <c:v>Bread</c:v>
                </c:pt>
              </c:strCache>
            </c:strRef>
          </c:cat>
          <c:val>
            <c:numRef>
              <c:f>top_10_revenue_by_category!$C$2:$C$11</c:f>
              <c:numCache>
                <c:formatCode>General</c:formatCode>
                <c:ptCount val="10"/>
                <c:pt idx="0">
                  <c:v>69931.399999999994</c:v>
                </c:pt>
                <c:pt idx="1">
                  <c:v>40393.47</c:v>
                </c:pt>
                <c:pt idx="2">
                  <c:v>38581.660000000003</c:v>
                </c:pt>
                <c:pt idx="3">
                  <c:v>36956.410000000003</c:v>
                </c:pt>
                <c:pt idx="4">
                  <c:v>36663.31</c:v>
                </c:pt>
                <c:pt idx="5">
                  <c:v>35009.129999999997</c:v>
                </c:pt>
                <c:pt idx="6">
                  <c:v>34547.65</c:v>
                </c:pt>
                <c:pt idx="7">
                  <c:v>34012.22</c:v>
                </c:pt>
                <c:pt idx="8">
                  <c:v>33008.25</c:v>
                </c:pt>
                <c:pt idx="9">
                  <c:v>32850.68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55-407F-B62B-744D560ACB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35742975"/>
        <c:axId val="935742495"/>
      </c:barChart>
      <c:catAx>
        <c:axId val="9357429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742495"/>
        <c:crosses val="autoZero"/>
        <c:auto val="1"/>
        <c:lblAlgn val="ctr"/>
        <c:lblOffset val="100"/>
        <c:noMultiLvlLbl val="0"/>
      </c:catAx>
      <c:valAx>
        <c:axId val="9357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742975"/>
        <c:crosses val="autoZero"/>
        <c:crossBetween val="between"/>
        <c:dispUnits>
          <c:builtInUnit val="thousands"/>
          <c:dispUnitsLbl>
            <c:layout>
              <c:manualLayout>
                <c:xMode val="edge"/>
                <c:yMode val="edge"/>
                <c:x val="0.79815436241610738"/>
                <c:y val="0.87608141902616155"/>
              </c:manualLayout>
            </c:layout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Revenue by Product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'revenue_by_category'!$B$1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'revenue_by_category'!$A$2:$A$12</c:f>
              <c:strCache>
                <c:ptCount val="11"/>
                <c:pt idx="0">
                  <c:v>Dairy &amp; Breakfast</c:v>
                </c:pt>
                <c:pt idx="1">
                  <c:v>Pharmacy</c:v>
                </c:pt>
                <c:pt idx="2">
                  <c:v>Fruits &amp; Vegetables</c:v>
                </c:pt>
                <c:pt idx="3">
                  <c:v>Pet Care</c:v>
                </c:pt>
                <c:pt idx="4">
                  <c:v>Cold Drinks &amp; Juices</c:v>
                </c:pt>
                <c:pt idx="5">
                  <c:v>Snacks &amp; Munchies</c:v>
                </c:pt>
                <c:pt idx="6">
                  <c:v>Baby Care</c:v>
                </c:pt>
                <c:pt idx="7">
                  <c:v>Household Care</c:v>
                </c:pt>
                <c:pt idx="8">
                  <c:v>Grocery &amp; Staples</c:v>
                </c:pt>
                <c:pt idx="9">
                  <c:v>Personal Care</c:v>
                </c:pt>
                <c:pt idx="10">
                  <c:v>Instant &amp; Frozen Food</c:v>
                </c:pt>
              </c:strCache>
            </c:strRef>
          </c:cat>
          <c:val>
            <c:numRef>
              <c:f>'revenue_by_category'!$B$2:$B$12</c:f>
              <c:numCache>
                <c:formatCode>General</c:formatCode>
                <c:ptCount val="11"/>
                <c:pt idx="0">
                  <c:v>146792.34</c:v>
                </c:pt>
                <c:pt idx="1">
                  <c:v>145334</c:v>
                </c:pt>
                <c:pt idx="2">
                  <c:v>130902.58</c:v>
                </c:pt>
                <c:pt idx="3">
                  <c:v>96031.9</c:v>
                </c:pt>
                <c:pt idx="4">
                  <c:v>85835.21</c:v>
                </c:pt>
                <c:pt idx="5">
                  <c:v>84487.7</c:v>
                </c:pt>
                <c:pt idx="6">
                  <c:v>80018.649999999994</c:v>
                </c:pt>
                <c:pt idx="7">
                  <c:v>76378.850000000006</c:v>
                </c:pt>
                <c:pt idx="8">
                  <c:v>71961.55</c:v>
                </c:pt>
                <c:pt idx="9">
                  <c:v>64781.02</c:v>
                </c:pt>
                <c:pt idx="10">
                  <c:v>60494.42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D0-4917-A951-8A95BCA84F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06361023"/>
        <c:axId val="2104286911"/>
        <c:axId val="0"/>
      </c:bar3DChart>
      <c:catAx>
        <c:axId val="10063610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4286911"/>
        <c:crosses val="autoZero"/>
        <c:auto val="1"/>
        <c:lblAlgn val="ctr"/>
        <c:lblOffset val="100"/>
        <c:noMultiLvlLbl val="0"/>
      </c:catAx>
      <c:valAx>
        <c:axId val="2104286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6361023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Revenue vs Estimated Profit by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'revenue_and_margin_by_category'!$B$1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'revenue_and_margin_by_category'!$A$2:$A$12</c:f>
              <c:strCache>
                <c:ptCount val="11"/>
                <c:pt idx="0">
                  <c:v>Pet Care</c:v>
                </c:pt>
                <c:pt idx="1">
                  <c:v>Fruits &amp; Vegetables</c:v>
                </c:pt>
                <c:pt idx="2">
                  <c:v>Snacks &amp; Munchies</c:v>
                </c:pt>
                <c:pt idx="3">
                  <c:v>Dairy &amp; Breakfast</c:v>
                </c:pt>
                <c:pt idx="4">
                  <c:v>Pharmacy</c:v>
                </c:pt>
                <c:pt idx="5">
                  <c:v>Cold Drinks &amp; Juices</c:v>
                </c:pt>
                <c:pt idx="6">
                  <c:v>Instant &amp; Frozen Food</c:v>
                </c:pt>
                <c:pt idx="7">
                  <c:v>Baby Care</c:v>
                </c:pt>
                <c:pt idx="8">
                  <c:v>Personal Care</c:v>
                </c:pt>
                <c:pt idx="9">
                  <c:v>Household Care</c:v>
                </c:pt>
                <c:pt idx="10">
                  <c:v>Grocery &amp; Staples</c:v>
                </c:pt>
              </c:strCache>
            </c:strRef>
          </c:cat>
          <c:val>
            <c:numRef>
              <c:f>'revenue_and_margin_by_category'!$B$2:$B$12</c:f>
              <c:numCache>
                <c:formatCode>General</c:formatCode>
                <c:ptCount val="11"/>
                <c:pt idx="0">
                  <c:v>96031.9</c:v>
                </c:pt>
                <c:pt idx="1">
                  <c:v>130902.58</c:v>
                </c:pt>
                <c:pt idx="2">
                  <c:v>84487.7</c:v>
                </c:pt>
                <c:pt idx="3">
                  <c:v>146792.34</c:v>
                </c:pt>
                <c:pt idx="4">
                  <c:v>145334</c:v>
                </c:pt>
                <c:pt idx="5">
                  <c:v>85835.21</c:v>
                </c:pt>
                <c:pt idx="6">
                  <c:v>60494.42</c:v>
                </c:pt>
                <c:pt idx="7">
                  <c:v>80018.649999999994</c:v>
                </c:pt>
                <c:pt idx="8">
                  <c:v>64781.02</c:v>
                </c:pt>
                <c:pt idx="9">
                  <c:v>76378.850000000006</c:v>
                </c:pt>
                <c:pt idx="10">
                  <c:v>71961.55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B7-4910-AD59-A99A022A1CF7}"/>
            </c:ext>
          </c:extLst>
        </c:ser>
        <c:ser>
          <c:idx val="1"/>
          <c:order val="1"/>
          <c:tx>
            <c:strRef>
              <c:f>'revenue_and_margin_by_category'!$C$1</c:f>
              <c:strCache>
                <c:ptCount val="1"/>
                <c:pt idx="0">
                  <c:v>avg_margin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'revenue_and_margin_by_category'!$A$2:$A$12</c:f>
              <c:strCache>
                <c:ptCount val="11"/>
                <c:pt idx="0">
                  <c:v>Pet Care</c:v>
                </c:pt>
                <c:pt idx="1">
                  <c:v>Fruits &amp; Vegetables</c:v>
                </c:pt>
                <c:pt idx="2">
                  <c:v>Snacks &amp; Munchies</c:v>
                </c:pt>
                <c:pt idx="3">
                  <c:v>Dairy &amp; Breakfast</c:v>
                </c:pt>
                <c:pt idx="4">
                  <c:v>Pharmacy</c:v>
                </c:pt>
                <c:pt idx="5">
                  <c:v>Cold Drinks &amp; Juices</c:v>
                </c:pt>
                <c:pt idx="6">
                  <c:v>Instant &amp; Frozen Food</c:v>
                </c:pt>
                <c:pt idx="7">
                  <c:v>Baby Care</c:v>
                </c:pt>
                <c:pt idx="8">
                  <c:v>Personal Care</c:v>
                </c:pt>
                <c:pt idx="9">
                  <c:v>Household Care</c:v>
                </c:pt>
                <c:pt idx="10">
                  <c:v>Grocery &amp; Staples</c:v>
                </c:pt>
              </c:strCache>
            </c:strRef>
          </c:cat>
          <c:val>
            <c:numRef>
              <c:f>'revenue_and_margin_by_category'!$C$2:$C$12</c:f>
              <c:numCache>
                <c:formatCode>General</c:formatCode>
                <c:ptCount val="11"/>
                <c:pt idx="0">
                  <c:v>35</c:v>
                </c:pt>
                <c:pt idx="1">
                  <c:v>25</c:v>
                </c:pt>
                <c:pt idx="2">
                  <c:v>35</c:v>
                </c:pt>
                <c:pt idx="3">
                  <c:v>20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30</c:v>
                </c:pt>
                <c:pt idx="8">
                  <c:v>35</c:v>
                </c:pt>
                <c:pt idx="9">
                  <c:v>25</c:v>
                </c:pt>
                <c:pt idx="10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B7-4910-AD59-A99A022A1CF7}"/>
            </c:ext>
          </c:extLst>
        </c:ser>
        <c:ser>
          <c:idx val="2"/>
          <c:order val="2"/>
          <c:tx>
            <c:strRef>
              <c:f>'revenue_and_margin_by_category'!$D$1</c:f>
              <c:strCache>
                <c:ptCount val="1"/>
                <c:pt idx="0">
                  <c:v>estimated_profit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'revenue_and_margin_by_category'!$A$2:$A$12</c:f>
              <c:strCache>
                <c:ptCount val="11"/>
                <c:pt idx="0">
                  <c:v>Pet Care</c:v>
                </c:pt>
                <c:pt idx="1">
                  <c:v>Fruits &amp; Vegetables</c:v>
                </c:pt>
                <c:pt idx="2">
                  <c:v>Snacks &amp; Munchies</c:v>
                </c:pt>
                <c:pt idx="3">
                  <c:v>Dairy &amp; Breakfast</c:v>
                </c:pt>
                <c:pt idx="4">
                  <c:v>Pharmacy</c:v>
                </c:pt>
                <c:pt idx="5">
                  <c:v>Cold Drinks &amp; Juices</c:v>
                </c:pt>
                <c:pt idx="6">
                  <c:v>Instant &amp; Frozen Food</c:v>
                </c:pt>
                <c:pt idx="7">
                  <c:v>Baby Care</c:v>
                </c:pt>
                <c:pt idx="8">
                  <c:v>Personal Care</c:v>
                </c:pt>
                <c:pt idx="9">
                  <c:v>Household Care</c:v>
                </c:pt>
                <c:pt idx="10">
                  <c:v>Grocery &amp; Staples</c:v>
                </c:pt>
              </c:strCache>
            </c:strRef>
          </c:cat>
          <c:val>
            <c:numRef>
              <c:f>'revenue_and_margin_by_category'!$D$2:$D$12</c:f>
              <c:numCache>
                <c:formatCode>General</c:formatCode>
                <c:ptCount val="11"/>
                <c:pt idx="0">
                  <c:v>33611.17</c:v>
                </c:pt>
                <c:pt idx="1">
                  <c:v>32725.65</c:v>
                </c:pt>
                <c:pt idx="2">
                  <c:v>29570.7</c:v>
                </c:pt>
                <c:pt idx="3">
                  <c:v>29358.47</c:v>
                </c:pt>
                <c:pt idx="4">
                  <c:v>29066.799999999999</c:v>
                </c:pt>
                <c:pt idx="5">
                  <c:v>25750.560000000001</c:v>
                </c:pt>
                <c:pt idx="6">
                  <c:v>24197.77</c:v>
                </c:pt>
                <c:pt idx="7">
                  <c:v>24005.599999999999</c:v>
                </c:pt>
                <c:pt idx="8">
                  <c:v>22673.360000000001</c:v>
                </c:pt>
                <c:pt idx="9">
                  <c:v>19094.71</c:v>
                </c:pt>
                <c:pt idx="10">
                  <c:v>10794.23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B7-4910-AD59-A99A022A1C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2045183"/>
        <c:axId val="1062044703"/>
      </c:barChart>
      <c:catAx>
        <c:axId val="1062045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044703"/>
        <c:crosses val="autoZero"/>
        <c:auto val="1"/>
        <c:lblAlgn val="ctr"/>
        <c:lblOffset val="100"/>
        <c:noMultiLvlLbl val="0"/>
      </c:catAx>
      <c:valAx>
        <c:axId val="106204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045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Revenue Trend 2023-2024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monthly_revenue_trend!$C$1</c:f>
              <c:strCache>
                <c:ptCount val="1"/>
                <c:pt idx="0">
                  <c:v>monthly_revenue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monthly_revenue_trend!$A$2:$A$22</c:f>
              <c:numCache>
                <c:formatCode>m/d/yyyy</c:formatCode>
                <c:ptCount val="21"/>
                <c:pt idx="0">
                  <c:v>44986</c:v>
                </c:pt>
                <c:pt idx="1">
                  <c:v>45017</c:v>
                </c:pt>
                <c:pt idx="2">
                  <c:v>45047</c:v>
                </c:pt>
                <c:pt idx="3">
                  <c:v>45078</c:v>
                </c:pt>
                <c:pt idx="4">
                  <c:v>45108</c:v>
                </c:pt>
                <c:pt idx="5">
                  <c:v>45139</c:v>
                </c:pt>
                <c:pt idx="6">
                  <c:v>45170</c:v>
                </c:pt>
                <c:pt idx="7">
                  <c:v>45200</c:v>
                </c:pt>
                <c:pt idx="8">
                  <c:v>45231</c:v>
                </c:pt>
                <c:pt idx="9">
                  <c:v>45261</c:v>
                </c:pt>
                <c:pt idx="10">
                  <c:v>45292</c:v>
                </c:pt>
                <c:pt idx="11">
                  <c:v>45323</c:v>
                </c:pt>
                <c:pt idx="12">
                  <c:v>45352</c:v>
                </c:pt>
                <c:pt idx="13">
                  <c:v>45383</c:v>
                </c:pt>
                <c:pt idx="14">
                  <c:v>45413</c:v>
                </c:pt>
                <c:pt idx="15">
                  <c:v>45444</c:v>
                </c:pt>
                <c:pt idx="16">
                  <c:v>45474</c:v>
                </c:pt>
                <c:pt idx="17">
                  <c:v>45505</c:v>
                </c:pt>
                <c:pt idx="18">
                  <c:v>45536</c:v>
                </c:pt>
                <c:pt idx="19">
                  <c:v>45566</c:v>
                </c:pt>
                <c:pt idx="20">
                  <c:v>45597</c:v>
                </c:pt>
              </c:numCache>
            </c:numRef>
          </c:cat>
          <c:val>
            <c:numRef>
              <c:f>monthly_revenue_trend!$C$2:$C$22</c:f>
              <c:numCache>
                <c:formatCode>General</c:formatCode>
                <c:ptCount val="21"/>
                <c:pt idx="0">
                  <c:v>62353.21</c:v>
                </c:pt>
                <c:pt idx="1">
                  <c:v>109489.05</c:v>
                </c:pt>
                <c:pt idx="2">
                  <c:v>126471.28</c:v>
                </c:pt>
                <c:pt idx="3">
                  <c:v>94053.52</c:v>
                </c:pt>
                <c:pt idx="4">
                  <c:v>121307.7</c:v>
                </c:pt>
                <c:pt idx="5">
                  <c:v>120834.43</c:v>
                </c:pt>
                <c:pt idx="6">
                  <c:v>132979.32999999999</c:v>
                </c:pt>
                <c:pt idx="7">
                  <c:v>120063.4</c:v>
                </c:pt>
                <c:pt idx="8">
                  <c:v>100597.99</c:v>
                </c:pt>
                <c:pt idx="9">
                  <c:v>138020.1</c:v>
                </c:pt>
                <c:pt idx="10">
                  <c:v>99148.79</c:v>
                </c:pt>
                <c:pt idx="11">
                  <c:v>102439.22</c:v>
                </c:pt>
                <c:pt idx="12">
                  <c:v>124781.17</c:v>
                </c:pt>
                <c:pt idx="13">
                  <c:v>123338.72</c:v>
                </c:pt>
                <c:pt idx="14">
                  <c:v>130870.37</c:v>
                </c:pt>
                <c:pt idx="15">
                  <c:v>137359.97</c:v>
                </c:pt>
                <c:pt idx="16">
                  <c:v>134452.85999999999</c:v>
                </c:pt>
                <c:pt idx="17">
                  <c:v>138296.53</c:v>
                </c:pt>
                <c:pt idx="18">
                  <c:v>115816.33</c:v>
                </c:pt>
                <c:pt idx="19">
                  <c:v>120083.43</c:v>
                </c:pt>
                <c:pt idx="20">
                  <c:v>10542.1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1A-46ED-8F09-1551EBDBD6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1600943"/>
        <c:axId val="921598543"/>
      </c:lineChart>
      <c:dateAx>
        <c:axId val="92160094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598543"/>
        <c:crosses val="autoZero"/>
        <c:auto val="1"/>
        <c:lblOffset val="100"/>
        <c:baseTimeUnit val="months"/>
      </c:dateAx>
      <c:valAx>
        <c:axId val="921598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600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Order Delivery Performance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delivery_status!$B$1</c:f>
              <c:strCache>
                <c:ptCount val="1"/>
                <c:pt idx="0">
                  <c:v>total_orders</c:v>
                </c:pt>
              </c:strCache>
            </c:strRef>
          </c:tx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244-4C0D-B419-E870100007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244-4C0D-B419-E8701000070F}"/>
              </c:ext>
            </c:extLst>
          </c:dPt>
          <c:dPt>
            <c:idx val="2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244-4C0D-B419-E8701000070F}"/>
              </c:ext>
            </c:extLst>
          </c:dPt>
          <c:dLbls>
            <c:dLbl>
              <c:idx val="2"/>
              <c:layout>
                <c:manualLayout>
                  <c:x val="-0.10555555555555556"/>
                  <c:y val="4.629629629629629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244-4C0D-B419-E8701000070F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delivery_status!$A$2:$A$4</c:f>
              <c:strCache>
                <c:ptCount val="3"/>
                <c:pt idx="0">
                  <c:v>On Time</c:v>
                </c:pt>
                <c:pt idx="1">
                  <c:v>Slightly Delayed</c:v>
                </c:pt>
                <c:pt idx="2">
                  <c:v>Significantly Delayed</c:v>
                </c:pt>
              </c:strCache>
            </c:strRef>
          </c:cat>
          <c:val>
            <c:numRef>
              <c:f>delivery_status!$B$2:$B$4</c:f>
              <c:numCache>
                <c:formatCode>General</c:formatCode>
                <c:ptCount val="3"/>
                <c:pt idx="0">
                  <c:v>741</c:v>
                </c:pt>
                <c:pt idx="1">
                  <c:v>222</c:v>
                </c:pt>
                <c:pt idx="2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244-4C0D-B419-E8701000070F}"/>
            </c:ext>
          </c:extLst>
        </c:ser>
        <c:ser>
          <c:idx val="1"/>
          <c:order val="1"/>
          <c:tx>
            <c:strRef>
              <c:f>delivery_status!$C$1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8244-4C0D-B419-E870100007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8244-4C0D-B419-E8701000070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8244-4C0D-B419-E8701000070F}"/>
              </c:ext>
            </c:extLst>
          </c:dPt>
          <c:cat>
            <c:strRef>
              <c:f>delivery_status!$A$2:$A$4</c:f>
              <c:strCache>
                <c:ptCount val="3"/>
                <c:pt idx="0">
                  <c:v>On Time</c:v>
                </c:pt>
                <c:pt idx="1">
                  <c:v>Slightly Delayed</c:v>
                </c:pt>
                <c:pt idx="2">
                  <c:v>Significantly Delayed</c:v>
                </c:pt>
              </c:strCache>
            </c:strRef>
          </c:cat>
          <c:val>
            <c:numRef>
              <c:f>delivery_status!$C$2:$C$4</c:f>
              <c:numCache>
                <c:formatCode>General</c:formatCode>
                <c:ptCount val="3"/>
                <c:pt idx="0">
                  <c:v>69.84</c:v>
                </c:pt>
                <c:pt idx="1">
                  <c:v>20.92</c:v>
                </c:pt>
                <c:pt idx="2">
                  <c:v>9.24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8244-4C0D-B419-E870100007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Average Order Value by Customer Segment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'customer_segments'!$C$1</c:f>
              <c:strCache>
                <c:ptCount val="1"/>
                <c:pt idx="0">
                  <c:v>avg_order_value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'customer_segments'!$A$2:$A$5</c:f>
              <c:strCache>
                <c:ptCount val="4"/>
                <c:pt idx="0">
                  <c:v>New</c:v>
                </c:pt>
                <c:pt idx="1">
                  <c:v>Inactive</c:v>
                </c:pt>
                <c:pt idx="2">
                  <c:v>Premium</c:v>
                </c:pt>
                <c:pt idx="3">
                  <c:v>Regular</c:v>
                </c:pt>
              </c:strCache>
            </c:strRef>
          </c:cat>
          <c:val>
            <c:numRef>
              <c:f>'customer_segments'!$C$2:$C$5</c:f>
              <c:numCache>
                <c:formatCode>General</c:formatCode>
                <c:ptCount val="4"/>
                <c:pt idx="0">
                  <c:v>1116.6400000000001</c:v>
                </c:pt>
                <c:pt idx="1">
                  <c:v>1102.1500000000001</c:v>
                </c:pt>
                <c:pt idx="2">
                  <c:v>1101.47</c:v>
                </c:pt>
                <c:pt idx="3">
                  <c:v>1089.47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E1-4E08-8BA5-0CE0C10547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1617455"/>
        <c:axId val="921616975"/>
      </c:barChart>
      <c:catAx>
        <c:axId val="92161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616975"/>
        <c:crosses val="autoZero"/>
        <c:auto val="1"/>
        <c:lblAlgn val="ctr"/>
        <c:lblOffset val="100"/>
        <c:noMultiLvlLbl val="0"/>
      </c:catAx>
      <c:valAx>
        <c:axId val="921616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617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Average Order Value by Customer Segment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'customer_segments'!$C$1</c:f>
              <c:strCache>
                <c:ptCount val="1"/>
                <c:pt idx="0">
                  <c:v>avg_order_value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'customer_segments'!$A$2:$A$5</c:f>
              <c:strCache>
                <c:ptCount val="4"/>
                <c:pt idx="0">
                  <c:v>New</c:v>
                </c:pt>
                <c:pt idx="1">
                  <c:v>Inactive</c:v>
                </c:pt>
                <c:pt idx="2">
                  <c:v>Premium</c:v>
                </c:pt>
                <c:pt idx="3">
                  <c:v>Regular</c:v>
                </c:pt>
              </c:strCache>
            </c:strRef>
          </c:cat>
          <c:val>
            <c:numRef>
              <c:f>'customer_segments'!$C$2:$C$5</c:f>
              <c:numCache>
                <c:formatCode>General</c:formatCode>
                <c:ptCount val="4"/>
                <c:pt idx="0">
                  <c:v>1116.6400000000001</c:v>
                </c:pt>
                <c:pt idx="1">
                  <c:v>1102.1500000000001</c:v>
                </c:pt>
                <c:pt idx="2">
                  <c:v>1101.47</c:v>
                </c:pt>
                <c:pt idx="3">
                  <c:v>1089.47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6F-4151-A4C4-C54469A861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1617455"/>
        <c:axId val="921616975"/>
      </c:barChart>
      <c:catAx>
        <c:axId val="92161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616975"/>
        <c:crosses val="autoZero"/>
        <c:auto val="1"/>
        <c:lblAlgn val="ctr"/>
        <c:lblOffset val="100"/>
        <c:noMultiLvlLbl val="0"/>
      </c:catAx>
      <c:valAx>
        <c:axId val="921616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617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236220</xdr:colOff>
      <xdr:row>8</xdr:row>
      <xdr:rowOff>133350</xdr:rowOff>
    </xdr:from>
    <xdr:to>
      <xdr:col>10</xdr:col>
      <xdr:colOff>541020</xdr:colOff>
      <xdr:row>23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55FF6C-2A9E-AEBA-A03C-32F2ACCEBC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220980</xdr:colOff>
      <xdr:row>6</xdr:row>
      <xdr:rowOff>140970</xdr:rowOff>
    </xdr:from>
    <xdr:to>
      <xdr:col>11</xdr:col>
      <xdr:colOff>525780</xdr:colOff>
      <xdr:row>21</xdr:row>
      <xdr:rowOff>140970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EB26AE0-BE25-3B07-4396-3F4B1BF3AC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434340</xdr:colOff>
      <xdr:row>2</xdr:row>
      <xdr:rowOff>95250</xdr:rowOff>
    </xdr:from>
    <xdr:to>
      <xdr:col>12</xdr:col>
      <xdr:colOff>129540</xdr:colOff>
      <xdr:row>17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B6B809-F026-AD26-00C4-C241835E33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579120</xdr:colOff>
      <xdr:row>8</xdr:row>
      <xdr:rowOff>133350</xdr:rowOff>
    </xdr:from>
    <xdr:to>
      <xdr:col>12</xdr:col>
      <xdr:colOff>274320</xdr:colOff>
      <xdr:row>23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D4C0FC6-8D55-CA8D-02E2-B0C9D6C94F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335280</xdr:colOff>
      <xdr:row>8</xdr:row>
      <xdr:rowOff>133350</xdr:rowOff>
    </xdr:from>
    <xdr:to>
      <xdr:col>11</xdr:col>
      <xdr:colOff>30480</xdr:colOff>
      <xdr:row>23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2F06BD-C240-31FD-DD80-39C27F37D6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137160</xdr:colOff>
      <xdr:row>7</xdr:row>
      <xdr:rowOff>7620</xdr:rowOff>
    </xdr:from>
    <xdr:to>
      <xdr:col>8</xdr:col>
      <xdr:colOff>411480</xdr:colOff>
      <xdr:row>21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3E77DA-7F79-4998-83EA-5BEA29CA02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152400</xdr:colOff>
      <xdr:row>6</xdr:row>
      <xdr:rowOff>167640</xdr:rowOff>
    </xdr:from>
    <xdr:to>
      <xdr:col>16</xdr:col>
      <xdr:colOff>457200</xdr:colOff>
      <xdr:row>21</xdr:row>
      <xdr:rowOff>167640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07C52A1-A999-44BA-897F-10AC19D333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114300</xdr:colOff>
      <xdr:row>22</xdr:row>
      <xdr:rowOff>60960</xdr:rowOff>
    </xdr:from>
    <xdr:to>
      <xdr:col>8</xdr:col>
      <xdr:colOff>419100</xdr:colOff>
      <xdr:row>37</xdr:row>
      <xdr:rowOff>60960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00FFFA6-7386-409F-9E1F-CEF26D3B47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190500</xdr:colOff>
      <xdr:row>22</xdr:row>
      <xdr:rowOff>45720</xdr:rowOff>
    </xdr:from>
    <xdr:to>
      <xdr:col>16</xdr:col>
      <xdr:colOff>495300</xdr:colOff>
      <xdr:row>37</xdr:row>
      <xdr:rowOff>45720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7D71B31-D0C1-468E-A108-17B0E3971A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175260</xdr:colOff>
      <xdr:row>39</xdr:row>
      <xdr:rowOff>99060</xdr:rowOff>
    </xdr:from>
    <xdr:to>
      <xdr:col>8</xdr:col>
      <xdr:colOff>480060</xdr:colOff>
      <xdr:row>54</xdr:row>
      <xdr:rowOff>99060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B13A5A3-AA1C-4575-8AE9-097EA9032D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6</xdr:col>
      <xdr:colOff>441960</xdr:colOff>
      <xdr:row>1</xdr:row>
      <xdr:rowOff>160020</xdr:rowOff>
    </xdr:from>
    <xdr:ext cx="3614066" cy="405432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ED06B12-8F48-E0C5-B380-FABE33154814}"/>
            </a:ext>
          </a:extLst>
        </xdr:cNvPr>
        <xdr:cNvSpPr txBox="1"/>
      </xdr:nvSpPr>
      <xdr:spPr>
        <a:xfrm>
          <a:off x="4099560" y="342900"/>
          <a:ext cx="3614066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2000" b="1"/>
            <a:t>Blinkit Sales Analysis Dashboard</a:t>
          </a:r>
        </a:p>
      </xdr:txBody>
    </xdr:sp>
    <xdr:clientData/>
  </xdr:oneCellAnchor>
  <xdr:twoCellAnchor>
    <xdr:from>
      <xdr:col>9</xdr:col>
      <xdr:colOff>411480</xdr:colOff>
      <xdr:row>39</xdr:row>
      <xdr:rowOff>152400</xdr:rowOff>
    </xdr:from>
    <xdr:to>
      <xdr:col>17</xdr:col>
      <xdr:colOff>106680</xdr:colOff>
      <xdr:row>54</xdr:row>
      <xdr:rowOff>152400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7D60411-1BC3-4DFE-9879-EA27DD7B5E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1112520</xdr:colOff>
      <xdr:row>8</xdr:row>
      <xdr:rowOff>133350</xdr:rowOff>
    </xdr:from>
    <xdr:to>
      <xdr:col>9</xdr:col>
      <xdr:colOff>518160</xdr:colOff>
      <xdr:row>23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0EB314-684A-3F9C-0B3C-70CA259943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42D59A98-063E-4968-A80E-65DA92D12CCA}" autoFormatId="16" applyNumberFormats="0" applyBorderFormats="0" applyFontFormats="0" applyPatternFormats="0" applyAlignmentFormats="0" applyWidthHeightFormats="0">
  <queryTableRefresh nextId="2">
    <queryTableFields count="1">
      <queryTableField id="1" name="total_revenue" tableColumnId="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B25AD17-AA45-4CE1-BF39-F936E7941811}" autoFormatId="16" applyNumberFormats="0" applyBorderFormats="0" applyFontFormats="0" applyPatternFormats="0" applyAlignmentFormats="0" applyWidthHeightFormats="0">
  <queryTableRefresh nextId="4">
    <queryTableFields count="3">
      <queryTableField id="1" name="delivery_status" tableColumnId="1"/>
      <queryTableField id="2" name="total_orders" tableColumnId="2"/>
      <queryTableField id="3" name="percentage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1AAF3115-A85D-4D42-A083-96C9E89DCCBD}" autoFormatId="16" applyNumberFormats="0" applyBorderFormats="0" applyFontFormats="0" applyPatternFormats="0" applyAlignmentFormats="0" applyWidthHeightFormats="0">
  <queryTableRefresh nextId="4">
    <queryTableFields count="3">
      <queryTableField id="1" name="month" tableColumnId="1"/>
      <queryTableField id="2" name="total_orders" tableColumnId="2"/>
      <queryTableField id="3" name="monthly_revenue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57D7C854-4EFA-4EED-A7B5-AB8B0AFD350E}" autoFormatId="16" applyNumberFormats="0" applyBorderFormats="0" applyFontFormats="0" applyPatternFormats="0" applyAlignmentFormats="0" applyWidthHeightFormats="0">
  <queryTableRefresh nextId="5">
    <queryTableFields count="4">
      <queryTableField id="1" name="category" tableColumnId="1"/>
      <queryTableField id="2" name="product_name" tableColumnId="2"/>
      <queryTableField id="3" name="revenue" tableColumnId="3"/>
      <queryTableField id="4" name="rank_in_category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BC22FB12-614B-4841-914B-07BF868F3B21}" autoFormatId="16" applyNumberFormats="0" applyBorderFormats="0" applyFontFormats="0" applyPatternFormats="0" applyAlignmentFormats="0" applyWidthHeightFormats="0">
  <queryTableRefresh nextId="5">
    <queryTableFields count="4">
      <queryTableField id="1" name="payment_method" tableColumnId="1"/>
      <queryTableField id="2" name="total_orders" tableColumnId="2"/>
      <queryTableField id="3" name="avg_order_value" tableColumnId="3"/>
      <queryTableField id="4" name="total_revenue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808FE4D5-B1A0-4D34-89C1-E9FAC1827303}" autoFormatId="16" applyNumberFormats="0" applyBorderFormats="0" applyFontFormats="0" applyPatternFormats="0" applyAlignmentFormats="0" applyWidthHeightFormats="0">
  <queryTableRefresh nextId="5">
    <queryTableFields count="4">
      <queryTableField id="1" name="category" tableColumnId="1"/>
      <queryTableField id="2" name="revenue" tableColumnId="2"/>
      <queryTableField id="3" name="avg_margin" tableColumnId="3"/>
      <queryTableField id="4" name="estimated_profit" tableColumnId="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6C68571E-0EDA-4F47-95BF-E89765B85495}" autoFormatId="16" applyNumberFormats="0" applyBorderFormats="0" applyFontFormats="0" applyPatternFormats="0" applyAlignmentFormats="0" applyWidthHeightFormats="0">
  <queryTableRefresh nextId="3">
    <queryTableFields count="2">
      <queryTableField id="1" name="category" tableColumnId="1"/>
      <queryTableField id="2" name="revenue" tableColumnId="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2468BF65-A02F-4771-B961-24E826BFEFAB}" autoFormatId="16" applyNumberFormats="0" applyBorderFormats="0" applyFontFormats="0" applyPatternFormats="0" applyAlignmentFormats="0" applyWidthHeightFormats="0">
  <queryTableRefresh nextId="4">
    <queryTableFields count="3">
      <queryTableField id="1" name="product_name" tableColumnId="1"/>
      <queryTableField id="2" name="category" tableColumnId="2"/>
      <queryTableField id="3" name="revenue" tableColumnId="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E7A1ACF4-F989-4F1F-BDC8-9744249B302A}" autoFormatId="16" applyNumberFormats="0" applyBorderFormats="0" applyFontFormats="0" applyPatternFormats="0" applyAlignmentFormats="0" applyWidthHeightFormats="0">
  <queryTableRefresh nextId="5">
    <queryTableFields count="4">
      <queryTableField id="1" name="product_name" tableColumnId="1"/>
      <queryTableField id="2" name="category" tableColumnId="2"/>
      <queryTableField id="3" name="product_revenue" tableColumnId="3"/>
      <queryTableField id="4" name="cumulative_percentage" tableColumnId="4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922F50F-BF64-4DE8-B387-5FA615DE1978}" autoFormatId="16" applyNumberFormats="0" applyBorderFormats="0" applyFontFormats="0" applyPatternFormats="0" applyAlignmentFormats="0" applyWidthHeightFormats="0">
  <queryTableRefresh nextId="5">
    <queryTableFields count="4">
      <queryTableField id="1" name="customer_segment" tableColumnId="1"/>
      <queryTableField id="2" name="total_customers" tableColumnId="2"/>
      <queryTableField id="3" name="avg_order_value" tableColumnId="3"/>
      <queryTableField id="4" name="total_orders" tableColumnId="4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4F5614E2-48EB-46E9-A021-E358F42F2F76}" autoFormatId="16" applyNumberFormats="0" applyBorderFormats="0" applyFontFormats="0" applyPatternFormats="0" applyAlignmentFormats="0" applyWidthHeightFormats="0">
  <queryTableRefresh nextId="4">
    <queryTableFields count="3">
      <queryTableField id="1" name="area" tableColumnId="1"/>
      <queryTableField id="2" name="total_customers" tableColumnId="2"/>
      <queryTableField id="3" name="avg_order_value" tableColumnId="3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5F050656-D29B-49B0-95E2-432504B27CBC}" autoFormatId="16" applyNumberFormats="0" applyBorderFormats="0" applyFontFormats="0" applyPatternFormats="0" applyAlignmentFormats="0" applyWidthHeightFormats="0">
  <queryTableRefresh nextId="5">
    <queryTableFields count="4">
      <queryTableField id="1" name="customer_segment" tableColumnId="1"/>
      <queryTableField id="2" name="total_customers" tableColumnId="2"/>
      <queryTableField id="3" name="avg_order_value" tableColumnId="3"/>
      <queryTableField id="4" name="pct_of_avg_valu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3CC052-99A4-47A8-ACB2-0B9CC0D6310A}" name="total_revenue" displayName="total_revenue" ref="A1:A2" tableType="queryTable" totalsRowShown="0">
  <autoFilter ref="A1:A2" xr:uid="{D13CC052-99A4-47A8-ACB2-0B9CC0D6310A}"/>
  <tableColumns count="1">
    <tableColumn id="1" xr3:uid="{C2A2C0EB-7FD8-4D6B-B51B-583C7840209A}" uniqueName="1" name="total_revenue" queryTableField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164EE2A-BDE0-4102-8B54-18B4DC74DA3F}" name="delivery_status" displayName="delivery_status" ref="A1:C4" tableType="queryTable" totalsRowShown="0">
  <autoFilter ref="A1:C4" xr:uid="{7164EE2A-BDE0-4102-8B54-18B4DC74DA3F}"/>
  <tableColumns count="3">
    <tableColumn id="1" xr3:uid="{49D94AF8-3C61-4AA1-A62E-A6CB0B02214E}" uniqueName="1" name="delivery_status" queryTableFieldId="1" dataDxfId="13"/>
    <tableColumn id="2" xr3:uid="{463E8674-FE19-477D-8843-D02681AE530A}" uniqueName="2" name="total_orders" queryTableFieldId="2"/>
    <tableColumn id="3" xr3:uid="{949712EF-B7EC-4633-BC63-7A8C6010F80C}" uniqueName="3" name="percentage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AC5FA6C-6202-41D1-97D2-1C74AED8B41E}" name="monthly_revenue_trend" displayName="monthly_revenue_trend" ref="A1:C22" tableType="queryTable" totalsRowShown="0">
  <autoFilter ref="A1:C22" xr:uid="{8AC5FA6C-6202-41D1-97D2-1C74AED8B41E}"/>
  <tableColumns count="3">
    <tableColumn id="1" xr3:uid="{56114818-EB5C-4121-A839-28106204E390}" uniqueName="1" name="month" queryTableFieldId="1" dataDxfId="12"/>
    <tableColumn id="2" xr3:uid="{A3F9DC37-D2E6-4138-BE69-462DA448BC01}" uniqueName="2" name="total_orders" queryTableFieldId="2"/>
    <tableColumn id="3" xr3:uid="{422AE441-0021-4F9D-8014-F89AC0CEAC02}" uniqueName="3" name="monthly_revenue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B6E2ACF-6073-412A-AC75-7E6F65C4AF31}" name="rank_products" displayName="rank_products" ref="A1:D52" tableType="queryTable" totalsRowShown="0">
  <autoFilter ref="A1:D52" xr:uid="{9B6E2ACF-6073-412A-AC75-7E6F65C4AF31}"/>
  <tableColumns count="4">
    <tableColumn id="1" xr3:uid="{A0884DB2-C28C-4671-873F-AD7362ECB77B}" uniqueName="1" name="category" queryTableFieldId="1" dataDxfId="10"/>
    <tableColumn id="2" xr3:uid="{A96D7655-1376-4F95-91FE-1DD5FA16C67E}" uniqueName="2" name="product_name" queryTableFieldId="2" dataDxfId="9"/>
    <tableColumn id="3" xr3:uid="{B653BD98-6E3C-4B02-8E16-2943906FB311}" uniqueName="3" name="revenue" queryTableFieldId="3"/>
    <tableColumn id="4" xr3:uid="{A6FDDCB3-F8BA-4C48-94A9-9D90C6E2408E}" uniqueName="4" name="rank_in_category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47B89BD-D3C3-4ABC-AF5B-ABFEAE50B270}" name="payment_method_analysis" displayName="payment_method_analysis" ref="A1:D5" tableType="queryTable" totalsRowShown="0">
  <autoFilter ref="A1:D5" xr:uid="{F47B89BD-D3C3-4ABC-AF5B-ABFEAE50B270}"/>
  <tableColumns count="4">
    <tableColumn id="1" xr3:uid="{16D1EC02-DDFC-4A73-8424-2A14C7643E82}" uniqueName="1" name="payment_method" queryTableFieldId="1" dataDxfId="11"/>
    <tableColumn id="2" xr3:uid="{E74BFCFE-63B8-4884-972C-6610BA7291B5}" uniqueName="2" name="total_orders" queryTableFieldId="2"/>
    <tableColumn id="3" xr3:uid="{0E255683-60D5-42C3-A0B2-2289519D156A}" uniqueName="3" name="avg_order_value" queryTableFieldId="3"/>
    <tableColumn id="4" xr3:uid="{4A132C78-21E7-4FB4-BAED-FF4B16BCA4C6}" uniqueName="4" name="total_revenue" queryTableFieldId="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F9512AD-C5E7-48B6-9B37-F05255AE2E0F}" name="revenue_and_margin_by_category" displayName="revenue_and_margin_by_category" ref="A1:D12" tableType="queryTable" totalsRowShown="0">
  <autoFilter ref="A1:D12" xr:uid="{6F9512AD-C5E7-48B6-9B37-F05255AE2E0F}"/>
  <tableColumns count="4">
    <tableColumn id="1" xr3:uid="{C2808503-9A73-4D24-9053-9F08C912919A}" uniqueName="1" name="category" queryTableFieldId="1" dataDxfId="8"/>
    <tableColumn id="2" xr3:uid="{393AB80B-0042-4714-9B04-6433BD8703FF}" uniqueName="2" name="revenue" queryTableFieldId="2"/>
    <tableColumn id="3" xr3:uid="{B69C5E85-D80A-43F4-94AF-31FC4E630BC0}" uniqueName="3" name="avg_margin" queryTableFieldId="3"/>
    <tableColumn id="4" xr3:uid="{DD27C44C-9AA1-4BB0-BBE8-8E869A7CEB06}" uniqueName="4" name="estimated_profit" queryTableFieldId="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A608651-220B-44FE-A402-FCF742191D8E}" name="revenue_by_category" displayName="revenue_by_category" ref="A1:B12" tableType="queryTable" totalsRowShown="0">
  <autoFilter ref="A1:B12" xr:uid="{DA608651-220B-44FE-A402-FCF742191D8E}"/>
  <tableColumns count="2">
    <tableColumn id="1" xr3:uid="{F05B3210-4854-424D-AC48-D7C240801455}" uniqueName="1" name="category" queryTableFieldId="1" dataDxfId="7"/>
    <tableColumn id="2" xr3:uid="{C5141EE1-1D96-4EEA-9507-3DB61D5C9250}" uniqueName="2" name="revenue" queryTableFieldId="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C818C89-2B81-4C50-BDB9-DAE913E869F1}" name="top_10_revenue_by_category" displayName="top_10_revenue_by_category" ref="A1:C11" tableType="queryTable" totalsRowShown="0">
  <autoFilter ref="A1:C11" xr:uid="{BC818C89-2B81-4C50-BDB9-DAE913E869F1}"/>
  <tableColumns count="3">
    <tableColumn id="1" xr3:uid="{8B0E9469-CD2F-4058-9EF7-8C3B4C3F27DA}" uniqueName="1" name="product_name" queryTableFieldId="1" dataDxfId="6"/>
    <tableColumn id="2" xr3:uid="{F55BF697-7BDB-41FF-8F8C-84D8683F9469}" uniqueName="2" name="category" queryTableFieldId="2" dataDxfId="5"/>
    <tableColumn id="3" xr3:uid="{529102BB-2466-4F57-A2B2-A9EF86711B12}" uniqueName="3" name="revenue" queryTableFieldId="3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81C8FDF-F9DD-4E22-9200-BFD838710DF6}" name="pareto_analysis" displayName="pareto_analysis" ref="A1:D52" tableType="queryTable" totalsRowShown="0">
  <autoFilter ref="A1:D52" xr:uid="{781C8FDF-F9DD-4E22-9200-BFD838710DF6}"/>
  <tableColumns count="4">
    <tableColumn id="1" xr3:uid="{6179B938-8983-4B85-AE1C-2CAEE52F2C66}" uniqueName="1" name="product_name" queryTableFieldId="1" dataDxfId="4"/>
    <tableColumn id="2" xr3:uid="{55FA4046-4DE4-46ED-BACF-1D4476BCBB64}" uniqueName="2" name="category" queryTableFieldId="2" dataDxfId="3"/>
    <tableColumn id="3" xr3:uid="{E97499E5-C1DA-4599-9DBF-2587BF904642}" uniqueName="3" name="product_revenue" queryTableFieldId="3"/>
    <tableColumn id="4" xr3:uid="{0AC9AB8B-1865-45D3-9C0F-CC226F307AB0}" uniqueName="4" name="cumulative_percentage" queryTableFieldId="4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88D8799-5118-43AC-A319-D02122C25EAD}" name="customer_segments" displayName="customer_segments" ref="A1:D5" tableType="queryTable" totalsRowShown="0">
  <autoFilter ref="A1:D5" xr:uid="{B88D8799-5118-43AC-A319-D02122C25EAD}"/>
  <tableColumns count="4">
    <tableColumn id="1" xr3:uid="{9C13AA6D-8240-4B12-B8B1-E197447A0495}" uniqueName="1" name="customer_segment" queryTableFieldId="1" dataDxfId="2"/>
    <tableColumn id="2" xr3:uid="{689F90F6-F750-4B22-814A-DA86DDD8D2B2}" uniqueName="2" name="total_customers" queryTableFieldId="2"/>
    <tableColumn id="3" xr3:uid="{35287C2B-2B97-44EC-BFA1-7D3801675D01}" uniqueName="3" name="avg_order_value" queryTableFieldId="3"/>
    <tableColumn id="4" xr3:uid="{F2E8A057-8474-4AA8-8F96-151DE5986171}" uniqueName="4" name="total_orders" queryTableFieldId="4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4FA743C-575C-40D2-AE2A-18AC4019EAB0}" name="top_areas" displayName="top_areas" ref="A1:C11" tableType="queryTable" totalsRowShown="0">
  <autoFilter ref="A1:C11" xr:uid="{44FA743C-575C-40D2-AE2A-18AC4019EAB0}"/>
  <tableColumns count="3">
    <tableColumn id="1" xr3:uid="{729B618C-2C93-41F2-B035-34F15CA1B079}" uniqueName="1" name="area" queryTableFieldId="1" dataDxfId="1"/>
    <tableColumn id="2" xr3:uid="{5ADA84BE-C4A5-41CF-B0B2-01BE68DF5C5C}" uniqueName="2" name="total_customers" queryTableFieldId="2"/>
    <tableColumn id="3" xr3:uid="{B1542A58-9FEB-43C4-AE84-4A4771B19358}" uniqueName="3" name="avg_order_value" queryTableFieldId="3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C220E73-C907-4665-AC43-1F664D10C659}" name="segment_window" displayName="segment_window" ref="A1:D5" tableType="queryTable" totalsRowShown="0">
  <autoFilter ref="A1:D5" xr:uid="{9C220E73-C907-4665-AC43-1F664D10C659}"/>
  <tableColumns count="4">
    <tableColumn id="1" xr3:uid="{82A266E2-4522-400A-81F6-4D5BFD526B88}" uniqueName="1" name="customer_segment" queryTableFieldId="1" dataDxfId="0"/>
    <tableColumn id="2" xr3:uid="{953357EB-A729-4101-8C1E-2AAF467F980D}" uniqueName="2" name="total_customers" queryTableFieldId="2"/>
    <tableColumn id="3" xr3:uid="{CD766F4F-A760-44EF-9BDF-C5BF68F0E734}" uniqueName="3" name="avg_order_value" queryTableFieldId="3"/>
    <tableColumn id="4" xr3:uid="{C9D522E5-AE0E-4EED-B4F0-040C55BAA350}" uniqueName="4" name="pct_of_avg_value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B2301-72FF-4772-AD60-1AF5DC59750C}">
  <dimension ref="A1:A2"/>
  <sheetViews>
    <sheetView workbookViewId="0"/>
  </sheetViews>
  <sheetFormatPr defaultRowHeight="14.4" x14ac:dyDescent="0.3"/>
  <cols>
    <col min="1" max="1" width="15" bestFit="1" customWidth="1"/>
  </cols>
  <sheetData>
    <row r="1" spans="1:1" x14ac:dyDescent="0.3">
      <c r="A1" t="s">
        <v>0</v>
      </c>
    </row>
    <row r="2" spans="1:1" x14ac:dyDescent="0.3">
      <c r="A2">
        <v>2363299.5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3D4B4-B016-4111-8757-BD7FD089EB19}">
  <dimension ref="A1:C4"/>
  <sheetViews>
    <sheetView workbookViewId="0">
      <selection sqref="A1:C4"/>
    </sheetView>
  </sheetViews>
  <sheetFormatPr defaultRowHeight="14.4" x14ac:dyDescent="0.3"/>
  <cols>
    <col min="1" max="1" width="17.88671875" bestFit="1" customWidth="1"/>
    <col min="2" max="2" width="13.44140625" bestFit="1" customWidth="1"/>
    <col min="3" max="3" width="12.6640625" bestFit="1" customWidth="1"/>
  </cols>
  <sheetData>
    <row r="1" spans="1:3" x14ac:dyDescent="0.3">
      <c r="A1" t="s">
        <v>1</v>
      </c>
      <c r="B1" t="s">
        <v>2</v>
      </c>
      <c r="C1" t="s">
        <v>3</v>
      </c>
    </row>
    <row r="2" spans="1:3" x14ac:dyDescent="0.3">
      <c r="A2" s="1" t="s">
        <v>4</v>
      </c>
      <c r="B2">
        <v>741</v>
      </c>
      <c r="C2">
        <v>69.84</v>
      </c>
    </row>
    <row r="3" spans="1:3" x14ac:dyDescent="0.3">
      <c r="A3" s="1" t="s">
        <v>5</v>
      </c>
      <c r="B3">
        <v>222</v>
      </c>
      <c r="C3">
        <v>20.92</v>
      </c>
    </row>
    <row r="4" spans="1:3" x14ac:dyDescent="0.3">
      <c r="A4" s="1" t="s">
        <v>6</v>
      </c>
      <c r="B4">
        <v>98</v>
      </c>
      <c r="C4">
        <v>9.24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5D1E8-6256-4653-9542-26DB9B89CC96}">
  <dimension ref="A1:C22"/>
  <sheetViews>
    <sheetView workbookViewId="0">
      <selection activeCell="N15" sqref="N15"/>
    </sheetView>
  </sheetViews>
  <sheetFormatPr defaultRowHeight="14.4" x14ac:dyDescent="0.3"/>
  <cols>
    <col min="1" max="1" width="10.33203125" bestFit="1" customWidth="1"/>
    <col min="2" max="2" width="13.44140625" bestFit="1" customWidth="1"/>
    <col min="3" max="3" width="18.33203125" bestFit="1" customWidth="1"/>
  </cols>
  <sheetData>
    <row r="1" spans="1:3" x14ac:dyDescent="0.3">
      <c r="A1" t="s">
        <v>7</v>
      </c>
      <c r="B1" t="s">
        <v>2</v>
      </c>
      <c r="C1" t="s">
        <v>8</v>
      </c>
    </row>
    <row r="2" spans="1:3" x14ac:dyDescent="0.3">
      <c r="A2" s="2">
        <v>44986</v>
      </c>
      <c r="B2">
        <v>28</v>
      </c>
      <c r="C2">
        <v>62353.21</v>
      </c>
    </row>
    <row r="3" spans="1:3" x14ac:dyDescent="0.3">
      <c r="A3" s="2">
        <v>45017</v>
      </c>
      <c r="B3">
        <v>48</v>
      </c>
      <c r="C3">
        <v>109489.05</v>
      </c>
    </row>
    <row r="4" spans="1:3" x14ac:dyDescent="0.3">
      <c r="A4" s="2">
        <v>45047</v>
      </c>
      <c r="B4">
        <v>54</v>
      </c>
      <c r="C4">
        <v>126471.28</v>
      </c>
    </row>
    <row r="5" spans="1:3" x14ac:dyDescent="0.3">
      <c r="A5" s="2">
        <v>45078</v>
      </c>
      <c r="B5">
        <v>45</v>
      </c>
      <c r="C5">
        <v>94053.52</v>
      </c>
    </row>
    <row r="6" spans="1:3" x14ac:dyDescent="0.3">
      <c r="A6" s="2">
        <v>45108</v>
      </c>
      <c r="B6">
        <v>53</v>
      </c>
      <c r="C6">
        <v>121307.7</v>
      </c>
    </row>
    <row r="7" spans="1:3" x14ac:dyDescent="0.3">
      <c r="A7" s="2">
        <v>45139</v>
      </c>
      <c r="B7">
        <v>59</v>
      </c>
      <c r="C7">
        <v>120834.43</v>
      </c>
    </row>
    <row r="8" spans="1:3" x14ac:dyDescent="0.3">
      <c r="A8" s="2">
        <v>45170</v>
      </c>
      <c r="B8">
        <v>66</v>
      </c>
      <c r="C8">
        <v>132979.32999999999</v>
      </c>
    </row>
    <row r="9" spans="1:3" x14ac:dyDescent="0.3">
      <c r="A9" s="2">
        <v>45200</v>
      </c>
      <c r="B9">
        <v>54</v>
      </c>
      <c r="C9">
        <v>120063.4</v>
      </c>
    </row>
    <row r="10" spans="1:3" x14ac:dyDescent="0.3">
      <c r="A10" s="2">
        <v>45231</v>
      </c>
      <c r="B10">
        <v>47</v>
      </c>
      <c r="C10">
        <v>100597.99</v>
      </c>
    </row>
    <row r="11" spans="1:3" x14ac:dyDescent="0.3">
      <c r="A11" s="2">
        <v>45261</v>
      </c>
      <c r="B11">
        <v>61</v>
      </c>
      <c r="C11">
        <v>138020.1</v>
      </c>
    </row>
    <row r="12" spans="1:3" x14ac:dyDescent="0.3">
      <c r="A12" s="2">
        <v>45292</v>
      </c>
      <c r="B12">
        <v>52</v>
      </c>
      <c r="C12">
        <v>99148.79</v>
      </c>
    </row>
    <row r="13" spans="1:3" x14ac:dyDescent="0.3">
      <c r="A13" s="2">
        <v>45323</v>
      </c>
      <c r="B13">
        <v>46</v>
      </c>
      <c r="C13">
        <v>102439.22</v>
      </c>
    </row>
    <row r="14" spans="1:3" x14ac:dyDescent="0.3">
      <c r="A14" s="2">
        <v>45352</v>
      </c>
      <c r="B14">
        <v>53</v>
      </c>
      <c r="C14">
        <v>124781.17</v>
      </c>
    </row>
    <row r="15" spans="1:3" x14ac:dyDescent="0.3">
      <c r="A15" s="2">
        <v>45383</v>
      </c>
      <c r="B15">
        <v>51</v>
      </c>
      <c r="C15">
        <v>123338.72</v>
      </c>
    </row>
    <row r="16" spans="1:3" x14ac:dyDescent="0.3">
      <c r="A16" s="2">
        <v>45413</v>
      </c>
      <c r="B16">
        <v>58</v>
      </c>
      <c r="C16">
        <v>130870.37</v>
      </c>
    </row>
    <row r="17" spans="1:3" x14ac:dyDescent="0.3">
      <c r="A17" s="2">
        <v>45444</v>
      </c>
      <c r="B17">
        <v>59</v>
      </c>
      <c r="C17">
        <v>137359.97</v>
      </c>
    </row>
    <row r="18" spans="1:3" x14ac:dyDescent="0.3">
      <c r="A18" s="2">
        <v>45474</v>
      </c>
      <c r="B18">
        <v>59</v>
      </c>
      <c r="C18">
        <v>134452.85999999999</v>
      </c>
    </row>
    <row r="19" spans="1:3" x14ac:dyDescent="0.3">
      <c r="A19" s="2">
        <v>45505</v>
      </c>
      <c r="B19">
        <v>60</v>
      </c>
      <c r="C19">
        <v>138296.53</v>
      </c>
    </row>
    <row r="20" spans="1:3" x14ac:dyDescent="0.3">
      <c r="A20" s="2">
        <v>45536</v>
      </c>
      <c r="B20">
        <v>53</v>
      </c>
      <c r="C20">
        <v>115816.33</v>
      </c>
    </row>
    <row r="21" spans="1:3" x14ac:dyDescent="0.3">
      <c r="A21" s="2">
        <v>45566</v>
      </c>
      <c r="B21">
        <v>50</v>
      </c>
      <c r="C21">
        <v>120083.43</v>
      </c>
    </row>
    <row r="22" spans="1:3" x14ac:dyDescent="0.3">
      <c r="A22" s="2">
        <v>45597</v>
      </c>
      <c r="B22">
        <v>5</v>
      </c>
      <c r="C22">
        <v>10542.1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845CB-64AF-4864-9DC5-2C4663DE0330}">
  <dimension ref="A1:D52"/>
  <sheetViews>
    <sheetView topLeftCell="C1" workbookViewId="0"/>
  </sheetViews>
  <sheetFormatPr defaultRowHeight="14.4" x14ac:dyDescent="0.3"/>
  <cols>
    <col min="1" max="1" width="19.109375" bestFit="1" customWidth="1"/>
    <col min="2" max="2" width="15.88671875" bestFit="1" customWidth="1"/>
    <col min="3" max="3" width="10.109375" bestFit="1" customWidth="1"/>
    <col min="4" max="4" width="18" bestFit="1" customWidth="1"/>
  </cols>
  <sheetData>
    <row r="1" spans="1:4" x14ac:dyDescent="0.3">
      <c r="A1" t="s">
        <v>15</v>
      </c>
      <c r="B1" t="s">
        <v>16</v>
      </c>
      <c r="C1" t="s">
        <v>17</v>
      </c>
      <c r="D1" t="s">
        <v>18</v>
      </c>
    </row>
    <row r="2" spans="1:4" x14ac:dyDescent="0.3">
      <c r="A2" s="1" t="s">
        <v>19</v>
      </c>
      <c r="B2" s="1" t="s">
        <v>20</v>
      </c>
      <c r="C2">
        <v>38581.660000000003</v>
      </c>
      <c r="D2">
        <v>1</v>
      </c>
    </row>
    <row r="3" spans="1:4" x14ac:dyDescent="0.3">
      <c r="A3" s="1" t="s">
        <v>19</v>
      </c>
      <c r="B3" s="1" t="s">
        <v>21</v>
      </c>
      <c r="C3">
        <v>32062.05</v>
      </c>
      <c r="D3">
        <v>2</v>
      </c>
    </row>
    <row r="4" spans="1:4" x14ac:dyDescent="0.3">
      <c r="A4" s="1" t="s">
        <v>19</v>
      </c>
      <c r="B4" s="1" t="s">
        <v>22</v>
      </c>
      <c r="C4">
        <v>9374.94</v>
      </c>
      <c r="D4">
        <v>3</v>
      </c>
    </row>
    <row r="5" spans="1:4" x14ac:dyDescent="0.3">
      <c r="A5" s="1" t="s">
        <v>23</v>
      </c>
      <c r="B5" s="1" t="s">
        <v>24</v>
      </c>
      <c r="C5">
        <v>24934.35</v>
      </c>
      <c r="D5">
        <v>1</v>
      </c>
    </row>
    <row r="6" spans="1:4" x14ac:dyDescent="0.3">
      <c r="A6" s="1" t="s">
        <v>23</v>
      </c>
      <c r="B6" s="1" t="s">
        <v>25</v>
      </c>
      <c r="C6">
        <v>23933.03</v>
      </c>
      <c r="D6">
        <v>2</v>
      </c>
    </row>
    <row r="7" spans="1:4" x14ac:dyDescent="0.3">
      <c r="A7" s="1" t="s">
        <v>23</v>
      </c>
      <c r="B7" s="1" t="s">
        <v>26</v>
      </c>
      <c r="C7">
        <v>19743.11</v>
      </c>
      <c r="D7">
        <v>3</v>
      </c>
    </row>
    <row r="8" spans="1:4" x14ac:dyDescent="0.3">
      <c r="A8" s="1" t="s">
        <v>23</v>
      </c>
      <c r="B8" s="1" t="s">
        <v>27</v>
      </c>
      <c r="C8">
        <v>11899.28</v>
      </c>
      <c r="D8">
        <v>4</v>
      </c>
    </row>
    <row r="9" spans="1:4" x14ac:dyDescent="0.3">
      <c r="A9" s="1" t="s">
        <v>23</v>
      </c>
      <c r="B9" s="1" t="s">
        <v>28</v>
      </c>
      <c r="C9">
        <v>5325.44</v>
      </c>
      <c r="D9">
        <v>5</v>
      </c>
    </row>
    <row r="10" spans="1:4" x14ac:dyDescent="0.3">
      <c r="A10" s="1" t="s">
        <v>29</v>
      </c>
      <c r="B10" s="1" t="s">
        <v>30</v>
      </c>
      <c r="C10">
        <v>36956.410000000003</v>
      </c>
      <c r="D10">
        <v>1</v>
      </c>
    </row>
    <row r="11" spans="1:4" x14ac:dyDescent="0.3">
      <c r="A11" s="1" t="s">
        <v>29</v>
      </c>
      <c r="B11" s="1" t="s">
        <v>31</v>
      </c>
      <c r="C11">
        <v>34547.65</v>
      </c>
      <c r="D11">
        <v>2</v>
      </c>
    </row>
    <row r="12" spans="1:4" x14ac:dyDescent="0.3">
      <c r="A12" s="1" t="s">
        <v>29</v>
      </c>
      <c r="B12" s="1" t="s">
        <v>32</v>
      </c>
      <c r="C12">
        <v>32850.68</v>
      </c>
      <c r="D12">
        <v>3</v>
      </c>
    </row>
    <row r="13" spans="1:4" x14ac:dyDescent="0.3">
      <c r="A13" s="1" t="s">
        <v>29</v>
      </c>
      <c r="B13" s="1" t="s">
        <v>33</v>
      </c>
      <c r="C13">
        <v>20416.64</v>
      </c>
      <c r="D13">
        <v>4</v>
      </c>
    </row>
    <row r="14" spans="1:4" x14ac:dyDescent="0.3">
      <c r="A14" s="1" t="s">
        <v>29</v>
      </c>
      <c r="B14" s="1" t="s">
        <v>34</v>
      </c>
      <c r="C14">
        <v>12156.72</v>
      </c>
      <c r="D14">
        <v>5</v>
      </c>
    </row>
    <row r="15" spans="1:4" x14ac:dyDescent="0.3">
      <c r="A15" s="1" t="s">
        <v>29</v>
      </c>
      <c r="B15" s="1" t="s">
        <v>35</v>
      </c>
      <c r="C15">
        <v>6587.13</v>
      </c>
      <c r="D15">
        <v>6</v>
      </c>
    </row>
    <row r="16" spans="1:4" x14ac:dyDescent="0.3">
      <c r="A16" s="1" t="s">
        <v>29</v>
      </c>
      <c r="B16" s="1" t="s">
        <v>36</v>
      </c>
      <c r="C16">
        <v>3277.11</v>
      </c>
      <c r="D16">
        <v>7</v>
      </c>
    </row>
    <row r="17" spans="1:4" x14ac:dyDescent="0.3">
      <c r="A17" s="1" t="s">
        <v>37</v>
      </c>
      <c r="B17" s="1" t="s">
        <v>38</v>
      </c>
      <c r="C17">
        <v>34012.22</v>
      </c>
      <c r="D17">
        <v>1</v>
      </c>
    </row>
    <row r="18" spans="1:4" x14ac:dyDescent="0.3">
      <c r="A18" s="1" t="s">
        <v>37</v>
      </c>
      <c r="B18" s="1" t="s">
        <v>39</v>
      </c>
      <c r="C18">
        <v>27669.39</v>
      </c>
      <c r="D18">
        <v>2</v>
      </c>
    </row>
    <row r="19" spans="1:4" x14ac:dyDescent="0.3">
      <c r="A19" s="1" t="s">
        <v>37</v>
      </c>
      <c r="B19" s="1" t="s">
        <v>40</v>
      </c>
      <c r="C19">
        <v>21689.45</v>
      </c>
      <c r="D19">
        <v>3</v>
      </c>
    </row>
    <row r="20" spans="1:4" x14ac:dyDescent="0.3">
      <c r="A20" s="1" t="s">
        <v>37</v>
      </c>
      <c r="B20" s="1" t="s">
        <v>41</v>
      </c>
      <c r="C20">
        <v>18640.259999999998</v>
      </c>
      <c r="D20">
        <v>4</v>
      </c>
    </row>
    <row r="21" spans="1:4" x14ac:dyDescent="0.3">
      <c r="A21" s="1" t="s">
        <v>37</v>
      </c>
      <c r="B21" s="1" t="s">
        <v>42</v>
      </c>
      <c r="C21">
        <v>15231.1</v>
      </c>
      <c r="D21">
        <v>5</v>
      </c>
    </row>
    <row r="22" spans="1:4" x14ac:dyDescent="0.3">
      <c r="A22" s="1" t="s">
        <v>37</v>
      </c>
      <c r="B22" s="1" t="s">
        <v>43</v>
      </c>
      <c r="C22">
        <v>9462.6</v>
      </c>
      <c r="D22">
        <v>6</v>
      </c>
    </row>
    <row r="23" spans="1:4" x14ac:dyDescent="0.3">
      <c r="A23" s="1" t="s">
        <v>37</v>
      </c>
      <c r="B23" s="1" t="s">
        <v>44</v>
      </c>
      <c r="C23">
        <v>4197.5600000000004</v>
      </c>
      <c r="D23">
        <v>7</v>
      </c>
    </row>
    <row r="24" spans="1:4" x14ac:dyDescent="0.3">
      <c r="A24" s="1" t="s">
        <v>45</v>
      </c>
      <c r="B24" s="1" t="s">
        <v>46</v>
      </c>
      <c r="C24">
        <v>22206.34</v>
      </c>
      <c r="D24">
        <v>1</v>
      </c>
    </row>
    <row r="25" spans="1:4" x14ac:dyDescent="0.3">
      <c r="A25" s="1" t="s">
        <v>45</v>
      </c>
      <c r="B25" s="1" t="s">
        <v>47</v>
      </c>
      <c r="C25">
        <v>17487.02</v>
      </c>
      <c r="D25">
        <v>2</v>
      </c>
    </row>
    <row r="26" spans="1:4" x14ac:dyDescent="0.3">
      <c r="A26" s="1" t="s">
        <v>45</v>
      </c>
      <c r="B26" s="1" t="s">
        <v>48</v>
      </c>
      <c r="C26">
        <v>17264.66</v>
      </c>
      <c r="D26">
        <v>3</v>
      </c>
    </row>
    <row r="27" spans="1:4" x14ac:dyDescent="0.3">
      <c r="A27" s="1" t="s">
        <v>45</v>
      </c>
      <c r="B27" s="1" t="s">
        <v>49</v>
      </c>
      <c r="C27">
        <v>8134.54</v>
      </c>
      <c r="D27">
        <v>4</v>
      </c>
    </row>
    <row r="28" spans="1:4" x14ac:dyDescent="0.3">
      <c r="A28" s="1" t="s">
        <v>45</v>
      </c>
      <c r="B28" s="1" t="s">
        <v>50</v>
      </c>
      <c r="C28">
        <v>6868.99</v>
      </c>
      <c r="D28">
        <v>5</v>
      </c>
    </row>
    <row r="29" spans="1:4" x14ac:dyDescent="0.3">
      <c r="A29" s="1" t="s">
        <v>51</v>
      </c>
      <c r="B29" s="1" t="s">
        <v>52</v>
      </c>
      <c r="C29">
        <v>33008.25</v>
      </c>
      <c r="D29">
        <v>1</v>
      </c>
    </row>
    <row r="30" spans="1:4" x14ac:dyDescent="0.3">
      <c r="A30" s="1" t="s">
        <v>51</v>
      </c>
      <c r="B30" s="1" t="s">
        <v>53</v>
      </c>
      <c r="C30">
        <v>28562.37</v>
      </c>
      <c r="D30">
        <v>2</v>
      </c>
    </row>
    <row r="31" spans="1:4" x14ac:dyDescent="0.3">
      <c r="A31" s="1" t="s">
        <v>51</v>
      </c>
      <c r="B31" s="1" t="s">
        <v>54</v>
      </c>
      <c r="C31">
        <v>14808.23</v>
      </c>
      <c r="D31">
        <v>3</v>
      </c>
    </row>
    <row r="32" spans="1:4" x14ac:dyDescent="0.3">
      <c r="A32" s="1" t="s">
        <v>55</v>
      </c>
      <c r="B32" s="1" t="s">
        <v>56</v>
      </c>
      <c r="C32">
        <v>26225.07</v>
      </c>
      <c r="D32">
        <v>1</v>
      </c>
    </row>
    <row r="33" spans="1:4" x14ac:dyDescent="0.3">
      <c r="A33" s="1" t="s">
        <v>55</v>
      </c>
      <c r="B33" s="1" t="s">
        <v>57</v>
      </c>
      <c r="C33">
        <v>10405.27</v>
      </c>
      <c r="D33">
        <v>2</v>
      </c>
    </row>
    <row r="34" spans="1:4" x14ac:dyDescent="0.3">
      <c r="A34" s="1" t="s">
        <v>55</v>
      </c>
      <c r="B34" s="1" t="s">
        <v>58</v>
      </c>
      <c r="C34">
        <v>9585.44</v>
      </c>
      <c r="D34">
        <v>3</v>
      </c>
    </row>
    <row r="35" spans="1:4" x14ac:dyDescent="0.3">
      <c r="A35" s="1" t="s">
        <v>55</v>
      </c>
      <c r="B35" s="1" t="s">
        <v>59</v>
      </c>
      <c r="C35">
        <v>8338.85</v>
      </c>
      <c r="D35">
        <v>4</v>
      </c>
    </row>
    <row r="36" spans="1:4" x14ac:dyDescent="0.3">
      <c r="A36" s="1" t="s">
        <v>55</v>
      </c>
      <c r="B36" s="1" t="s">
        <v>60</v>
      </c>
      <c r="C36">
        <v>5939.79</v>
      </c>
      <c r="D36">
        <v>5</v>
      </c>
    </row>
    <row r="37" spans="1:4" x14ac:dyDescent="0.3">
      <c r="A37" s="1" t="s">
        <v>61</v>
      </c>
      <c r="B37" s="1" t="s">
        <v>62</v>
      </c>
      <c r="C37">
        <v>28307.22</v>
      </c>
      <c r="D37">
        <v>1</v>
      </c>
    </row>
    <row r="38" spans="1:4" x14ac:dyDescent="0.3">
      <c r="A38" s="1" t="s">
        <v>61</v>
      </c>
      <c r="B38" s="1" t="s">
        <v>63</v>
      </c>
      <c r="C38">
        <v>18473.53</v>
      </c>
      <c r="D38">
        <v>2</v>
      </c>
    </row>
    <row r="39" spans="1:4" x14ac:dyDescent="0.3">
      <c r="A39" s="1" t="s">
        <v>61</v>
      </c>
      <c r="B39" s="1" t="s">
        <v>64</v>
      </c>
      <c r="C39">
        <v>10107.290000000001</v>
      </c>
      <c r="D39">
        <v>3</v>
      </c>
    </row>
    <row r="40" spans="1:4" x14ac:dyDescent="0.3">
      <c r="A40" s="1" t="s">
        <v>61</v>
      </c>
      <c r="B40" s="1" t="s">
        <v>65</v>
      </c>
      <c r="C40">
        <v>7892.98</v>
      </c>
      <c r="D40">
        <v>4</v>
      </c>
    </row>
    <row r="41" spans="1:4" x14ac:dyDescent="0.3">
      <c r="A41" s="1" t="s">
        <v>66</v>
      </c>
      <c r="B41" s="1" t="s">
        <v>67</v>
      </c>
      <c r="C41">
        <v>36663.31</v>
      </c>
      <c r="D41">
        <v>1</v>
      </c>
    </row>
    <row r="42" spans="1:4" x14ac:dyDescent="0.3">
      <c r="A42" s="1" t="s">
        <v>66</v>
      </c>
      <c r="B42" s="1" t="s">
        <v>68</v>
      </c>
      <c r="C42">
        <v>29693.39</v>
      </c>
      <c r="D42">
        <v>2</v>
      </c>
    </row>
    <row r="43" spans="1:4" x14ac:dyDescent="0.3">
      <c r="A43" s="1" t="s">
        <v>66</v>
      </c>
      <c r="B43" s="1" t="s">
        <v>69</v>
      </c>
      <c r="C43">
        <v>29675.200000000001</v>
      </c>
      <c r="D43">
        <v>3</v>
      </c>
    </row>
    <row r="44" spans="1:4" x14ac:dyDescent="0.3">
      <c r="A44" s="1" t="s">
        <v>70</v>
      </c>
      <c r="B44" s="1" t="s">
        <v>71</v>
      </c>
      <c r="C44">
        <v>69931.399999999994</v>
      </c>
      <c r="D44">
        <v>1</v>
      </c>
    </row>
    <row r="45" spans="1:4" x14ac:dyDescent="0.3">
      <c r="A45" s="1" t="s">
        <v>70</v>
      </c>
      <c r="B45" s="1" t="s">
        <v>72</v>
      </c>
      <c r="C45">
        <v>40393.47</v>
      </c>
      <c r="D45">
        <v>2</v>
      </c>
    </row>
    <row r="46" spans="1:4" x14ac:dyDescent="0.3">
      <c r="A46" s="1" t="s">
        <v>70</v>
      </c>
      <c r="B46" s="1" t="s">
        <v>73</v>
      </c>
      <c r="C46">
        <v>35009.129999999997</v>
      </c>
      <c r="D46">
        <v>3</v>
      </c>
    </row>
    <row r="47" spans="1:4" x14ac:dyDescent="0.3">
      <c r="A47" s="1" t="s">
        <v>74</v>
      </c>
      <c r="B47" s="1" t="s">
        <v>75</v>
      </c>
      <c r="C47">
        <v>25752.84</v>
      </c>
      <c r="D47">
        <v>1</v>
      </c>
    </row>
    <row r="48" spans="1:4" x14ac:dyDescent="0.3">
      <c r="A48" s="1" t="s">
        <v>74</v>
      </c>
      <c r="B48" s="1" t="s">
        <v>76</v>
      </c>
      <c r="C48">
        <v>23396.86</v>
      </c>
      <c r="D48">
        <v>2</v>
      </c>
    </row>
    <row r="49" spans="1:4" x14ac:dyDescent="0.3">
      <c r="A49" s="1" t="s">
        <v>74</v>
      </c>
      <c r="B49" s="1" t="s">
        <v>77</v>
      </c>
      <c r="C49">
        <v>11328.8</v>
      </c>
      <c r="D49">
        <v>3</v>
      </c>
    </row>
    <row r="50" spans="1:4" x14ac:dyDescent="0.3">
      <c r="A50" s="1" t="s">
        <v>74</v>
      </c>
      <c r="B50" s="1" t="s">
        <v>78</v>
      </c>
      <c r="C50">
        <v>10344.969999999999</v>
      </c>
      <c r="D50">
        <v>4</v>
      </c>
    </row>
    <row r="51" spans="1:4" x14ac:dyDescent="0.3">
      <c r="A51" s="1" t="s">
        <v>74</v>
      </c>
      <c r="B51" s="1" t="s">
        <v>79</v>
      </c>
      <c r="C51">
        <v>8607.42</v>
      </c>
      <c r="D51">
        <v>5</v>
      </c>
    </row>
    <row r="52" spans="1:4" x14ac:dyDescent="0.3">
      <c r="A52" s="1" t="s">
        <v>74</v>
      </c>
      <c r="B52" s="1" t="s">
        <v>80</v>
      </c>
      <c r="C52">
        <v>5056.8100000000004</v>
      </c>
      <c r="D52">
        <v>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581F8-ED9F-4965-B84E-758AF8947EFE}">
  <dimension ref="A1:D5"/>
  <sheetViews>
    <sheetView workbookViewId="0"/>
  </sheetViews>
  <sheetFormatPr defaultRowHeight="14.4" x14ac:dyDescent="0.3"/>
  <cols>
    <col min="1" max="1" width="18.5546875" bestFit="1" customWidth="1"/>
    <col min="2" max="2" width="13.44140625" bestFit="1" customWidth="1"/>
    <col min="3" max="3" width="17.44140625" bestFit="1" customWidth="1"/>
    <col min="4" max="4" width="15" bestFit="1" customWidth="1"/>
  </cols>
  <sheetData>
    <row r="1" spans="1:4" x14ac:dyDescent="0.3">
      <c r="A1" t="s">
        <v>9</v>
      </c>
      <c r="B1" t="s">
        <v>2</v>
      </c>
      <c r="C1" t="s">
        <v>10</v>
      </c>
      <c r="D1" t="s">
        <v>0</v>
      </c>
    </row>
    <row r="2" spans="1:4" x14ac:dyDescent="0.3">
      <c r="A2" s="1" t="s">
        <v>11</v>
      </c>
      <c r="B2">
        <v>268</v>
      </c>
      <c r="C2">
        <v>2358.96</v>
      </c>
      <c r="D2">
        <v>632202.62</v>
      </c>
    </row>
    <row r="3" spans="1:4" x14ac:dyDescent="0.3">
      <c r="A3" s="1" t="s">
        <v>12</v>
      </c>
      <c r="B3">
        <v>280</v>
      </c>
      <c r="C3">
        <v>2249.92</v>
      </c>
      <c r="D3">
        <v>629978.06999999995</v>
      </c>
    </row>
    <row r="4" spans="1:4" x14ac:dyDescent="0.3">
      <c r="A4" s="1" t="s">
        <v>13</v>
      </c>
      <c r="B4">
        <v>266</v>
      </c>
      <c r="C4">
        <v>2120.66</v>
      </c>
      <c r="D4">
        <v>564095.71</v>
      </c>
    </row>
    <row r="5" spans="1:4" x14ac:dyDescent="0.3">
      <c r="A5" s="1" t="s">
        <v>14</v>
      </c>
      <c r="B5">
        <v>247</v>
      </c>
      <c r="C5">
        <v>2174.1799999999998</v>
      </c>
      <c r="D5">
        <v>537023.1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99F77-B6DC-439B-9424-2232AC8B8C4C}">
  <dimension ref="A1:D12"/>
  <sheetViews>
    <sheetView workbookViewId="0">
      <selection activeCell="O12" sqref="O12"/>
    </sheetView>
  </sheetViews>
  <sheetFormatPr defaultRowHeight="14.4" x14ac:dyDescent="0.3"/>
  <cols>
    <col min="1" max="1" width="19.109375" bestFit="1" customWidth="1"/>
    <col min="2" max="2" width="10.109375" bestFit="1" customWidth="1"/>
    <col min="3" max="3" width="13.109375" bestFit="1" customWidth="1"/>
    <col min="4" max="4" width="17.33203125" bestFit="1" customWidth="1"/>
  </cols>
  <sheetData>
    <row r="1" spans="1:4" x14ac:dyDescent="0.3">
      <c r="A1" t="s">
        <v>15</v>
      </c>
      <c r="B1" t="s">
        <v>17</v>
      </c>
      <c r="C1" t="s">
        <v>81</v>
      </c>
      <c r="D1" t="s">
        <v>82</v>
      </c>
    </row>
    <row r="2" spans="1:4" x14ac:dyDescent="0.3">
      <c r="A2" s="1" t="s">
        <v>66</v>
      </c>
      <c r="B2">
        <v>96031.9</v>
      </c>
      <c r="C2">
        <v>35</v>
      </c>
      <c r="D2">
        <v>33611.17</v>
      </c>
    </row>
    <row r="3" spans="1:4" x14ac:dyDescent="0.3">
      <c r="A3" s="1" t="s">
        <v>37</v>
      </c>
      <c r="B3">
        <v>130902.58</v>
      </c>
      <c r="C3">
        <v>25</v>
      </c>
      <c r="D3">
        <v>32725.65</v>
      </c>
    </row>
    <row r="4" spans="1:4" x14ac:dyDescent="0.3">
      <c r="A4" s="1" t="s">
        <v>74</v>
      </c>
      <c r="B4">
        <v>84487.7</v>
      </c>
      <c r="C4">
        <v>35</v>
      </c>
      <c r="D4">
        <v>29570.7</v>
      </c>
    </row>
    <row r="5" spans="1:4" x14ac:dyDescent="0.3">
      <c r="A5" s="1" t="s">
        <v>29</v>
      </c>
      <c r="B5">
        <v>146792.34</v>
      </c>
      <c r="C5">
        <v>20</v>
      </c>
      <c r="D5">
        <v>29358.47</v>
      </c>
    </row>
    <row r="6" spans="1:4" x14ac:dyDescent="0.3">
      <c r="A6" s="1" t="s">
        <v>70</v>
      </c>
      <c r="B6">
        <v>145334</v>
      </c>
      <c r="C6">
        <v>20</v>
      </c>
      <c r="D6">
        <v>29066.799999999999</v>
      </c>
    </row>
    <row r="7" spans="1:4" x14ac:dyDescent="0.3">
      <c r="A7" s="1" t="s">
        <v>23</v>
      </c>
      <c r="B7">
        <v>85835.21</v>
      </c>
      <c r="C7">
        <v>30</v>
      </c>
      <c r="D7">
        <v>25750.560000000001</v>
      </c>
    </row>
    <row r="8" spans="1:4" x14ac:dyDescent="0.3">
      <c r="A8" s="1" t="s">
        <v>55</v>
      </c>
      <c r="B8">
        <v>60494.42</v>
      </c>
      <c r="C8">
        <v>40</v>
      </c>
      <c r="D8">
        <v>24197.77</v>
      </c>
    </row>
    <row r="9" spans="1:4" x14ac:dyDescent="0.3">
      <c r="A9" s="1" t="s">
        <v>19</v>
      </c>
      <c r="B9">
        <v>80018.649999999994</v>
      </c>
      <c r="C9">
        <v>30</v>
      </c>
      <c r="D9">
        <v>24005.599999999999</v>
      </c>
    </row>
    <row r="10" spans="1:4" x14ac:dyDescent="0.3">
      <c r="A10" s="1" t="s">
        <v>61</v>
      </c>
      <c r="B10">
        <v>64781.02</v>
      </c>
      <c r="C10">
        <v>35</v>
      </c>
      <c r="D10">
        <v>22673.360000000001</v>
      </c>
    </row>
    <row r="11" spans="1:4" x14ac:dyDescent="0.3">
      <c r="A11" s="1" t="s">
        <v>51</v>
      </c>
      <c r="B11">
        <v>76378.850000000006</v>
      </c>
      <c r="C11">
        <v>25</v>
      </c>
      <c r="D11">
        <v>19094.71</v>
      </c>
    </row>
    <row r="12" spans="1:4" x14ac:dyDescent="0.3">
      <c r="A12" s="1" t="s">
        <v>45</v>
      </c>
      <c r="B12">
        <v>71961.55</v>
      </c>
      <c r="C12">
        <v>15</v>
      </c>
      <c r="D12">
        <v>10794.23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D150E-6CE6-4BF2-8590-66FA8E5DA109}">
  <dimension ref="A1:B12"/>
  <sheetViews>
    <sheetView workbookViewId="0">
      <selection activeCell="L25" sqref="L25"/>
    </sheetView>
  </sheetViews>
  <sheetFormatPr defaultRowHeight="14.4" x14ac:dyDescent="0.3"/>
  <cols>
    <col min="1" max="1" width="19.109375" bestFit="1" customWidth="1"/>
    <col min="2" max="2" width="10.109375" bestFit="1" customWidth="1"/>
  </cols>
  <sheetData>
    <row r="1" spans="1:2" x14ac:dyDescent="0.3">
      <c r="A1" t="s">
        <v>15</v>
      </c>
      <c r="B1" t="s">
        <v>17</v>
      </c>
    </row>
    <row r="2" spans="1:2" x14ac:dyDescent="0.3">
      <c r="A2" s="1" t="s">
        <v>29</v>
      </c>
      <c r="B2">
        <v>146792.34</v>
      </c>
    </row>
    <row r="3" spans="1:2" x14ac:dyDescent="0.3">
      <c r="A3" s="1" t="s">
        <v>70</v>
      </c>
      <c r="B3">
        <v>145334</v>
      </c>
    </row>
    <row r="4" spans="1:2" x14ac:dyDescent="0.3">
      <c r="A4" s="1" t="s">
        <v>37</v>
      </c>
      <c r="B4">
        <v>130902.58</v>
      </c>
    </row>
    <row r="5" spans="1:2" x14ac:dyDescent="0.3">
      <c r="A5" s="1" t="s">
        <v>66</v>
      </c>
      <c r="B5">
        <v>96031.9</v>
      </c>
    </row>
    <row r="6" spans="1:2" x14ac:dyDescent="0.3">
      <c r="A6" s="1" t="s">
        <v>23</v>
      </c>
      <c r="B6">
        <v>85835.21</v>
      </c>
    </row>
    <row r="7" spans="1:2" x14ac:dyDescent="0.3">
      <c r="A7" s="1" t="s">
        <v>74</v>
      </c>
      <c r="B7">
        <v>84487.7</v>
      </c>
    </row>
    <row r="8" spans="1:2" x14ac:dyDescent="0.3">
      <c r="A8" s="1" t="s">
        <v>19</v>
      </c>
      <c r="B8">
        <v>80018.649999999994</v>
      </c>
    </row>
    <row r="9" spans="1:2" x14ac:dyDescent="0.3">
      <c r="A9" s="1" t="s">
        <v>51</v>
      </c>
      <c r="B9">
        <v>76378.850000000006</v>
      </c>
    </row>
    <row r="10" spans="1:2" x14ac:dyDescent="0.3">
      <c r="A10" s="1" t="s">
        <v>45</v>
      </c>
      <c r="B10">
        <v>71961.55</v>
      </c>
    </row>
    <row r="11" spans="1:2" x14ac:dyDescent="0.3">
      <c r="A11" s="1" t="s">
        <v>61</v>
      </c>
      <c r="B11">
        <v>64781.02</v>
      </c>
    </row>
    <row r="12" spans="1:2" x14ac:dyDescent="0.3">
      <c r="A12" s="1" t="s">
        <v>55</v>
      </c>
      <c r="B12">
        <v>60494.42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DB6D0-84C9-4232-8D07-3C8F8289FFCD}">
  <dimension ref="A1:C11"/>
  <sheetViews>
    <sheetView workbookViewId="0">
      <selection activeCell="N23" sqref="N23"/>
    </sheetView>
  </sheetViews>
  <sheetFormatPr defaultRowHeight="14.4" x14ac:dyDescent="0.3"/>
  <cols>
    <col min="1" max="1" width="15.77734375" bestFit="1" customWidth="1"/>
    <col min="2" max="2" width="16.6640625" bestFit="1" customWidth="1"/>
    <col min="3" max="3" width="10.109375" bestFit="1" customWidth="1"/>
  </cols>
  <sheetData>
    <row r="1" spans="1:3" x14ac:dyDescent="0.3">
      <c r="A1" t="s">
        <v>16</v>
      </c>
      <c r="B1" t="s">
        <v>15</v>
      </c>
      <c r="C1" t="s">
        <v>17</v>
      </c>
    </row>
    <row r="2" spans="1:3" x14ac:dyDescent="0.3">
      <c r="A2" s="1" t="s">
        <v>71</v>
      </c>
      <c r="B2" s="1" t="s">
        <v>70</v>
      </c>
      <c r="C2">
        <v>69931.399999999994</v>
      </c>
    </row>
    <row r="3" spans="1:3" x14ac:dyDescent="0.3">
      <c r="A3" s="1" t="s">
        <v>72</v>
      </c>
      <c r="B3" s="1" t="s">
        <v>70</v>
      </c>
      <c r="C3">
        <v>40393.47</v>
      </c>
    </row>
    <row r="4" spans="1:3" x14ac:dyDescent="0.3">
      <c r="A4" s="1" t="s">
        <v>20</v>
      </c>
      <c r="B4" s="1" t="s">
        <v>19</v>
      </c>
      <c r="C4">
        <v>38581.660000000003</v>
      </c>
    </row>
    <row r="5" spans="1:3" x14ac:dyDescent="0.3">
      <c r="A5" s="1" t="s">
        <v>30</v>
      </c>
      <c r="B5" s="1" t="s">
        <v>29</v>
      </c>
      <c r="C5">
        <v>36956.410000000003</v>
      </c>
    </row>
    <row r="6" spans="1:3" x14ac:dyDescent="0.3">
      <c r="A6" s="1" t="s">
        <v>67</v>
      </c>
      <c r="B6" s="1" t="s">
        <v>66</v>
      </c>
      <c r="C6">
        <v>36663.31</v>
      </c>
    </row>
    <row r="7" spans="1:3" x14ac:dyDescent="0.3">
      <c r="A7" s="1" t="s">
        <v>73</v>
      </c>
      <c r="B7" s="1" t="s">
        <v>70</v>
      </c>
      <c r="C7">
        <v>35009.129999999997</v>
      </c>
    </row>
    <row r="8" spans="1:3" x14ac:dyDescent="0.3">
      <c r="A8" s="1" t="s">
        <v>31</v>
      </c>
      <c r="B8" s="1" t="s">
        <v>29</v>
      </c>
      <c r="C8">
        <v>34547.65</v>
      </c>
    </row>
    <row r="9" spans="1:3" x14ac:dyDescent="0.3">
      <c r="A9" s="1" t="s">
        <v>38</v>
      </c>
      <c r="B9" s="1" t="s">
        <v>37</v>
      </c>
      <c r="C9">
        <v>34012.22</v>
      </c>
    </row>
    <row r="10" spans="1:3" x14ac:dyDescent="0.3">
      <c r="A10" s="1" t="s">
        <v>52</v>
      </c>
      <c r="B10" s="1" t="s">
        <v>51</v>
      </c>
      <c r="C10">
        <v>33008.25</v>
      </c>
    </row>
    <row r="11" spans="1:3" x14ac:dyDescent="0.3">
      <c r="A11" s="1" t="s">
        <v>32</v>
      </c>
      <c r="B11" s="1" t="s">
        <v>29</v>
      </c>
      <c r="C11">
        <v>32850.68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C9408-7367-4FB1-9638-07E81DACBDBF}">
  <dimension ref="A1:D52"/>
  <sheetViews>
    <sheetView workbookViewId="0"/>
  </sheetViews>
  <sheetFormatPr defaultRowHeight="14.4" x14ac:dyDescent="0.3"/>
  <cols>
    <col min="1" max="1" width="15.88671875" bestFit="1" customWidth="1"/>
    <col min="2" max="2" width="19.109375" bestFit="1" customWidth="1"/>
    <col min="3" max="3" width="17.88671875" bestFit="1" customWidth="1"/>
    <col min="4" max="4" width="23.21875" bestFit="1" customWidth="1"/>
  </cols>
  <sheetData>
    <row r="1" spans="1:4" x14ac:dyDescent="0.3">
      <c r="A1" t="s">
        <v>16</v>
      </c>
      <c r="B1" t="s">
        <v>15</v>
      </c>
      <c r="C1" t="s">
        <v>83</v>
      </c>
      <c r="D1" t="s">
        <v>84</v>
      </c>
    </row>
    <row r="2" spans="1:4" x14ac:dyDescent="0.3">
      <c r="A2" s="1" t="s">
        <v>71</v>
      </c>
      <c r="B2" s="1" t="s">
        <v>70</v>
      </c>
      <c r="C2">
        <v>69931.399999999994</v>
      </c>
      <c r="D2">
        <v>6.7</v>
      </c>
    </row>
    <row r="3" spans="1:4" x14ac:dyDescent="0.3">
      <c r="A3" s="1" t="s">
        <v>72</v>
      </c>
      <c r="B3" s="1" t="s">
        <v>70</v>
      </c>
      <c r="C3">
        <v>40393.47</v>
      </c>
      <c r="D3">
        <v>10.58</v>
      </c>
    </row>
    <row r="4" spans="1:4" x14ac:dyDescent="0.3">
      <c r="A4" s="1" t="s">
        <v>20</v>
      </c>
      <c r="B4" s="1" t="s">
        <v>19</v>
      </c>
      <c r="C4">
        <v>38581.660000000003</v>
      </c>
      <c r="D4">
        <v>14.28</v>
      </c>
    </row>
    <row r="5" spans="1:4" x14ac:dyDescent="0.3">
      <c r="A5" s="1" t="s">
        <v>30</v>
      </c>
      <c r="B5" s="1" t="s">
        <v>29</v>
      </c>
      <c r="C5">
        <v>36956.410000000003</v>
      </c>
      <c r="D5">
        <v>17.82</v>
      </c>
    </row>
    <row r="6" spans="1:4" x14ac:dyDescent="0.3">
      <c r="A6" s="1" t="s">
        <v>67</v>
      </c>
      <c r="B6" s="1" t="s">
        <v>66</v>
      </c>
      <c r="C6">
        <v>36663.31</v>
      </c>
      <c r="D6">
        <v>21.33</v>
      </c>
    </row>
    <row r="7" spans="1:4" x14ac:dyDescent="0.3">
      <c r="A7" s="1" t="s">
        <v>73</v>
      </c>
      <c r="B7" s="1" t="s">
        <v>70</v>
      </c>
      <c r="C7">
        <v>35009.129999999997</v>
      </c>
      <c r="D7">
        <v>24.69</v>
      </c>
    </row>
    <row r="8" spans="1:4" x14ac:dyDescent="0.3">
      <c r="A8" s="1" t="s">
        <v>31</v>
      </c>
      <c r="B8" s="1" t="s">
        <v>29</v>
      </c>
      <c r="C8">
        <v>34547.65</v>
      </c>
      <c r="D8">
        <v>28</v>
      </c>
    </row>
    <row r="9" spans="1:4" x14ac:dyDescent="0.3">
      <c r="A9" s="1" t="s">
        <v>38</v>
      </c>
      <c r="B9" s="1" t="s">
        <v>37</v>
      </c>
      <c r="C9">
        <v>34012.22</v>
      </c>
      <c r="D9">
        <v>31.26</v>
      </c>
    </row>
    <row r="10" spans="1:4" x14ac:dyDescent="0.3">
      <c r="A10" s="1" t="s">
        <v>52</v>
      </c>
      <c r="B10" s="1" t="s">
        <v>51</v>
      </c>
      <c r="C10">
        <v>33008.25</v>
      </c>
      <c r="D10">
        <v>34.43</v>
      </c>
    </row>
    <row r="11" spans="1:4" x14ac:dyDescent="0.3">
      <c r="A11" s="1" t="s">
        <v>32</v>
      </c>
      <c r="B11" s="1" t="s">
        <v>29</v>
      </c>
      <c r="C11">
        <v>32850.68</v>
      </c>
      <c r="D11">
        <v>37.58</v>
      </c>
    </row>
    <row r="12" spans="1:4" x14ac:dyDescent="0.3">
      <c r="A12" s="1" t="s">
        <v>21</v>
      </c>
      <c r="B12" s="1" t="s">
        <v>19</v>
      </c>
      <c r="C12">
        <v>32062.05</v>
      </c>
      <c r="D12">
        <v>40.65</v>
      </c>
    </row>
    <row r="13" spans="1:4" x14ac:dyDescent="0.3">
      <c r="A13" s="1" t="s">
        <v>68</v>
      </c>
      <c r="B13" s="1" t="s">
        <v>66</v>
      </c>
      <c r="C13">
        <v>29693.39</v>
      </c>
      <c r="D13">
        <v>43.5</v>
      </c>
    </row>
    <row r="14" spans="1:4" x14ac:dyDescent="0.3">
      <c r="A14" s="1" t="s">
        <v>69</v>
      </c>
      <c r="B14" s="1" t="s">
        <v>66</v>
      </c>
      <c r="C14">
        <v>29675.200000000001</v>
      </c>
      <c r="D14">
        <v>46.34</v>
      </c>
    </row>
    <row r="15" spans="1:4" x14ac:dyDescent="0.3">
      <c r="A15" s="1" t="s">
        <v>53</v>
      </c>
      <c r="B15" s="1" t="s">
        <v>51</v>
      </c>
      <c r="C15">
        <v>28562.37</v>
      </c>
      <c r="D15">
        <v>49.08</v>
      </c>
    </row>
    <row r="16" spans="1:4" x14ac:dyDescent="0.3">
      <c r="A16" s="1" t="s">
        <v>62</v>
      </c>
      <c r="B16" s="1" t="s">
        <v>61</v>
      </c>
      <c r="C16">
        <v>28307.22</v>
      </c>
      <c r="D16">
        <v>51.8</v>
      </c>
    </row>
    <row r="17" spans="1:4" x14ac:dyDescent="0.3">
      <c r="A17" s="1" t="s">
        <v>39</v>
      </c>
      <c r="B17" s="1" t="s">
        <v>37</v>
      </c>
      <c r="C17">
        <v>27669.39</v>
      </c>
      <c r="D17">
        <v>54.45</v>
      </c>
    </row>
    <row r="18" spans="1:4" x14ac:dyDescent="0.3">
      <c r="A18" s="1" t="s">
        <v>56</v>
      </c>
      <c r="B18" s="1" t="s">
        <v>55</v>
      </c>
      <c r="C18">
        <v>26225.07</v>
      </c>
      <c r="D18">
        <v>56.96</v>
      </c>
    </row>
    <row r="19" spans="1:4" x14ac:dyDescent="0.3">
      <c r="A19" s="1" t="s">
        <v>75</v>
      </c>
      <c r="B19" s="1" t="s">
        <v>74</v>
      </c>
      <c r="C19">
        <v>25752.84</v>
      </c>
      <c r="D19">
        <v>59.43</v>
      </c>
    </row>
    <row r="20" spans="1:4" x14ac:dyDescent="0.3">
      <c r="A20" s="1" t="s">
        <v>24</v>
      </c>
      <c r="B20" s="1" t="s">
        <v>23</v>
      </c>
      <c r="C20">
        <v>24934.35</v>
      </c>
      <c r="D20">
        <v>61.82</v>
      </c>
    </row>
    <row r="21" spans="1:4" x14ac:dyDescent="0.3">
      <c r="A21" s="1" t="s">
        <v>25</v>
      </c>
      <c r="B21" s="1" t="s">
        <v>23</v>
      </c>
      <c r="C21">
        <v>23933.03</v>
      </c>
      <c r="D21">
        <v>64.12</v>
      </c>
    </row>
    <row r="22" spans="1:4" x14ac:dyDescent="0.3">
      <c r="A22" s="1" t="s">
        <v>76</v>
      </c>
      <c r="B22" s="1" t="s">
        <v>74</v>
      </c>
      <c r="C22">
        <v>23396.86</v>
      </c>
      <c r="D22">
        <v>66.36</v>
      </c>
    </row>
    <row r="23" spans="1:4" x14ac:dyDescent="0.3">
      <c r="A23" s="1" t="s">
        <v>46</v>
      </c>
      <c r="B23" s="1" t="s">
        <v>45</v>
      </c>
      <c r="C23">
        <v>22206.34</v>
      </c>
      <c r="D23">
        <v>68.489999999999995</v>
      </c>
    </row>
    <row r="24" spans="1:4" x14ac:dyDescent="0.3">
      <c r="A24" s="1" t="s">
        <v>40</v>
      </c>
      <c r="B24" s="1" t="s">
        <v>37</v>
      </c>
      <c r="C24">
        <v>21689.45</v>
      </c>
      <c r="D24">
        <v>70.569999999999993</v>
      </c>
    </row>
    <row r="25" spans="1:4" x14ac:dyDescent="0.3">
      <c r="A25" s="1" t="s">
        <v>33</v>
      </c>
      <c r="B25" s="1" t="s">
        <v>29</v>
      </c>
      <c r="C25">
        <v>20416.64</v>
      </c>
      <c r="D25">
        <v>72.53</v>
      </c>
    </row>
    <row r="26" spans="1:4" x14ac:dyDescent="0.3">
      <c r="A26" s="1" t="s">
        <v>26</v>
      </c>
      <c r="B26" s="1" t="s">
        <v>23</v>
      </c>
      <c r="C26">
        <v>19743.11</v>
      </c>
      <c r="D26">
        <v>74.42</v>
      </c>
    </row>
    <row r="27" spans="1:4" x14ac:dyDescent="0.3">
      <c r="A27" s="1" t="s">
        <v>41</v>
      </c>
      <c r="B27" s="1" t="s">
        <v>37</v>
      </c>
      <c r="C27">
        <v>18640.259999999998</v>
      </c>
      <c r="D27">
        <v>76.209999999999994</v>
      </c>
    </row>
    <row r="28" spans="1:4" x14ac:dyDescent="0.3">
      <c r="A28" s="1" t="s">
        <v>63</v>
      </c>
      <c r="B28" s="1" t="s">
        <v>61</v>
      </c>
      <c r="C28">
        <v>18473.53</v>
      </c>
      <c r="D28">
        <v>77.98</v>
      </c>
    </row>
    <row r="29" spans="1:4" x14ac:dyDescent="0.3">
      <c r="A29" s="1" t="s">
        <v>47</v>
      </c>
      <c r="B29" s="1" t="s">
        <v>45</v>
      </c>
      <c r="C29">
        <v>17487.02</v>
      </c>
      <c r="D29">
        <v>79.66</v>
      </c>
    </row>
    <row r="30" spans="1:4" x14ac:dyDescent="0.3">
      <c r="A30" s="1" t="s">
        <v>48</v>
      </c>
      <c r="B30" s="1" t="s">
        <v>45</v>
      </c>
      <c r="C30">
        <v>17264.66</v>
      </c>
      <c r="D30">
        <v>81.31</v>
      </c>
    </row>
    <row r="31" spans="1:4" x14ac:dyDescent="0.3">
      <c r="A31" s="1" t="s">
        <v>42</v>
      </c>
      <c r="B31" s="1" t="s">
        <v>37</v>
      </c>
      <c r="C31">
        <v>15231.1</v>
      </c>
      <c r="D31">
        <v>82.77</v>
      </c>
    </row>
    <row r="32" spans="1:4" x14ac:dyDescent="0.3">
      <c r="A32" s="1" t="s">
        <v>54</v>
      </c>
      <c r="B32" s="1" t="s">
        <v>51</v>
      </c>
      <c r="C32">
        <v>14808.23</v>
      </c>
      <c r="D32">
        <v>84.19</v>
      </c>
    </row>
    <row r="33" spans="1:4" x14ac:dyDescent="0.3">
      <c r="A33" s="1" t="s">
        <v>34</v>
      </c>
      <c r="B33" s="1" t="s">
        <v>29</v>
      </c>
      <c r="C33">
        <v>12156.72</v>
      </c>
      <c r="D33">
        <v>85.36</v>
      </c>
    </row>
    <row r="34" spans="1:4" x14ac:dyDescent="0.3">
      <c r="A34" s="1" t="s">
        <v>27</v>
      </c>
      <c r="B34" s="1" t="s">
        <v>23</v>
      </c>
      <c r="C34">
        <v>11899.28</v>
      </c>
      <c r="D34">
        <v>86.5</v>
      </c>
    </row>
    <row r="35" spans="1:4" x14ac:dyDescent="0.3">
      <c r="A35" s="1" t="s">
        <v>77</v>
      </c>
      <c r="B35" s="1" t="s">
        <v>74</v>
      </c>
      <c r="C35">
        <v>11328.8</v>
      </c>
      <c r="D35">
        <v>87.58</v>
      </c>
    </row>
    <row r="36" spans="1:4" x14ac:dyDescent="0.3">
      <c r="A36" s="1" t="s">
        <v>57</v>
      </c>
      <c r="B36" s="1" t="s">
        <v>55</v>
      </c>
      <c r="C36">
        <v>10405.27</v>
      </c>
      <c r="D36">
        <v>88.58</v>
      </c>
    </row>
    <row r="37" spans="1:4" x14ac:dyDescent="0.3">
      <c r="A37" s="1" t="s">
        <v>78</v>
      </c>
      <c r="B37" s="1" t="s">
        <v>74</v>
      </c>
      <c r="C37">
        <v>10344.969999999999</v>
      </c>
      <c r="D37">
        <v>89.57</v>
      </c>
    </row>
    <row r="38" spans="1:4" x14ac:dyDescent="0.3">
      <c r="A38" s="1" t="s">
        <v>64</v>
      </c>
      <c r="B38" s="1" t="s">
        <v>61</v>
      </c>
      <c r="C38">
        <v>10107.290000000001</v>
      </c>
      <c r="D38">
        <v>90.54</v>
      </c>
    </row>
    <row r="39" spans="1:4" x14ac:dyDescent="0.3">
      <c r="A39" s="1" t="s">
        <v>58</v>
      </c>
      <c r="B39" s="1" t="s">
        <v>55</v>
      </c>
      <c r="C39">
        <v>9585.44</v>
      </c>
      <c r="D39">
        <v>91.46</v>
      </c>
    </row>
    <row r="40" spans="1:4" x14ac:dyDescent="0.3">
      <c r="A40" s="1" t="s">
        <v>43</v>
      </c>
      <c r="B40" s="1" t="s">
        <v>37</v>
      </c>
      <c r="C40">
        <v>9462.6</v>
      </c>
      <c r="D40">
        <v>92.37</v>
      </c>
    </row>
    <row r="41" spans="1:4" x14ac:dyDescent="0.3">
      <c r="A41" s="1" t="s">
        <v>22</v>
      </c>
      <c r="B41" s="1" t="s">
        <v>19</v>
      </c>
      <c r="C41">
        <v>9374.94</v>
      </c>
      <c r="D41">
        <v>93.27</v>
      </c>
    </row>
    <row r="42" spans="1:4" x14ac:dyDescent="0.3">
      <c r="A42" s="1" t="s">
        <v>79</v>
      </c>
      <c r="B42" s="1" t="s">
        <v>74</v>
      </c>
      <c r="C42">
        <v>8607.42</v>
      </c>
      <c r="D42">
        <v>94.09</v>
      </c>
    </row>
    <row r="43" spans="1:4" x14ac:dyDescent="0.3">
      <c r="A43" s="1" t="s">
        <v>59</v>
      </c>
      <c r="B43" s="1" t="s">
        <v>55</v>
      </c>
      <c r="C43">
        <v>8338.85</v>
      </c>
      <c r="D43">
        <v>94.89</v>
      </c>
    </row>
    <row r="44" spans="1:4" x14ac:dyDescent="0.3">
      <c r="A44" s="1" t="s">
        <v>49</v>
      </c>
      <c r="B44" s="1" t="s">
        <v>45</v>
      </c>
      <c r="C44">
        <v>8134.54</v>
      </c>
      <c r="D44">
        <v>95.67</v>
      </c>
    </row>
    <row r="45" spans="1:4" x14ac:dyDescent="0.3">
      <c r="A45" s="1" t="s">
        <v>65</v>
      </c>
      <c r="B45" s="1" t="s">
        <v>61</v>
      </c>
      <c r="C45">
        <v>7892.98</v>
      </c>
      <c r="D45">
        <v>96.43</v>
      </c>
    </row>
    <row r="46" spans="1:4" x14ac:dyDescent="0.3">
      <c r="A46" s="1" t="s">
        <v>50</v>
      </c>
      <c r="B46" s="1" t="s">
        <v>45</v>
      </c>
      <c r="C46">
        <v>6868.99</v>
      </c>
      <c r="D46">
        <v>97.09</v>
      </c>
    </row>
    <row r="47" spans="1:4" x14ac:dyDescent="0.3">
      <c r="A47" s="1" t="s">
        <v>35</v>
      </c>
      <c r="B47" s="1" t="s">
        <v>29</v>
      </c>
      <c r="C47">
        <v>6587.13</v>
      </c>
      <c r="D47">
        <v>97.72</v>
      </c>
    </row>
    <row r="48" spans="1:4" x14ac:dyDescent="0.3">
      <c r="A48" s="1" t="s">
        <v>60</v>
      </c>
      <c r="B48" s="1" t="s">
        <v>55</v>
      </c>
      <c r="C48">
        <v>5939.79</v>
      </c>
      <c r="D48">
        <v>98.29</v>
      </c>
    </row>
    <row r="49" spans="1:4" x14ac:dyDescent="0.3">
      <c r="A49" s="1" t="s">
        <v>28</v>
      </c>
      <c r="B49" s="1" t="s">
        <v>23</v>
      </c>
      <c r="C49">
        <v>5325.44</v>
      </c>
      <c r="D49">
        <v>98.8</v>
      </c>
    </row>
    <row r="50" spans="1:4" x14ac:dyDescent="0.3">
      <c r="A50" s="1" t="s">
        <v>80</v>
      </c>
      <c r="B50" s="1" t="s">
        <v>74</v>
      </c>
      <c r="C50">
        <v>5056.8100000000004</v>
      </c>
      <c r="D50">
        <v>99.28</v>
      </c>
    </row>
    <row r="51" spans="1:4" x14ac:dyDescent="0.3">
      <c r="A51" s="1" t="s">
        <v>44</v>
      </c>
      <c r="B51" s="1" t="s">
        <v>37</v>
      </c>
      <c r="C51">
        <v>4197.5600000000004</v>
      </c>
      <c r="D51">
        <v>99.69</v>
      </c>
    </row>
    <row r="52" spans="1:4" x14ac:dyDescent="0.3">
      <c r="A52" s="1" t="s">
        <v>36</v>
      </c>
      <c r="B52" s="1" t="s">
        <v>29</v>
      </c>
      <c r="C52">
        <v>3277.11</v>
      </c>
      <c r="D52">
        <v>100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D1DC2-CD1D-4584-912E-A6B53A3424B5}">
  <dimension ref="A1"/>
  <sheetViews>
    <sheetView tabSelected="1" zoomScale="50" workbookViewId="0">
      <selection activeCell="X52" sqref="X52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F3B36-868C-4365-8362-99370E1CDCE9}">
  <dimension ref="A1:D5"/>
  <sheetViews>
    <sheetView workbookViewId="0">
      <selection activeCell="C1" activeCellId="1" sqref="A1:A5 C1:C5"/>
    </sheetView>
  </sheetViews>
  <sheetFormatPr defaultRowHeight="14.4" x14ac:dyDescent="0.3"/>
  <cols>
    <col min="1" max="1" width="19.5546875" bestFit="1" customWidth="1"/>
    <col min="2" max="2" width="16.88671875" bestFit="1" customWidth="1"/>
    <col min="3" max="3" width="17.44140625" bestFit="1" customWidth="1"/>
    <col min="4" max="4" width="13.44140625" bestFit="1" customWidth="1"/>
  </cols>
  <sheetData>
    <row r="1" spans="1:4" x14ac:dyDescent="0.3">
      <c r="A1" t="s">
        <v>85</v>
      </c>
      <c r="B1" t="s">
        <v>86</v>
      </c>
      <c r="C1" t="s">
        <v>10</v>
      </c>
      <c r="D1" t="s">
        <v>2</v>
      </c>
    </row>
    <row r="2" spans="1:4" x14ac:dyDescent="0.3">
      <c r="A2" s="1" t="s">
        <v>87</v>
      </c>
      <c r="B2">
        <v>628</v>
      </c>
      <c r="C2">
        <v>1116.6400000000001</v>
      </c>
      <c r="D2">
        <v>6829</v>
      </c>
    </row>
    <row r="3" spans="1:4" x14ac:dyDescent="0.3">
      <c r="A3" s="1" t="s">
        <v>88</v>
      </c>
      <c r="B3">
        <v>600</v>
      </c>
      <c r="C3">
        <v>1102.1500000000001</v>
      </c>
      <c r="D3">
        <v>6350</v>
      </c>
    </row>
    <row r="4" spans="1:4" x14ac:dyDescent="0.3">
      <c r="A4" s="1" t="s">
        <v>89</v>
      </c>
      <c r="B4">
        <v>633</v>
      </c>
      <c r="C4">
        <v>1101.47</v>
      </c>
      <c r="D4">
        <v>6452</v>
      </c>
    </row>
    <row r="5" spans="1:4" x14ac:dyDescent="0.3">
      <c r="A5" s="1" t="s">
        <v>90</v>
      </c>
      <c r="B5">
        <v>639</v>
      </c>
      <c r="C5">
        <v>1089.47</v>
      </c>
      <c r="D5">
        <v>6598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F09A3-3DF7-4030-8731-BB0604337614}">
  <dimension ref="A1:C11"/>
  <sheetViews>
    <sheetView workbookViewId="0"/>
  </sheetViews>
  <sheetFormatPr defaultRowHeight="14.4" x14ac:dyDescent="0.3"/>
  <cols>
    <col min="1" max="1" width="14.21875" bestFit="1" customWidth="1"/>
    <col min="2" max="2" width="16.88671875" bestFit="1" customWidth="1"/>
    <col min="3" max="3" width="17.44140625" bestFit="1" customWidth="1"/>
  </cols>
  <sheetData>
    <row r="1" spans="1:3" x14ac:dyDescent="0.3">
      <c r="A1" t="s">
        <v>91</v>
      </c>
      <c r="B1" t="s">
        <v>86</v>
      </c>
      <c r="C1" t="s">
        <v>10</v>
      </c>
    </row>
    <row r="2" spans="1:3" x14ac:dyDescent="0.3">
      <c r="A2" s="1" t="s">
        <v>92</v>
      </c>
      <c r="B2">
        <v>18</v>
      </c>
      <c r="C2">
        <v>1273.02</v>
      </c>
    </row>
    <row r="3" spans="1:3" x14ac:dyDescent="0.3">
      <c r="A3" s="1" t="s">
        <v>93</v>
      </c>
      <c r="B3">
        <v>17</v>
      </c>
      <c r="C3">
        <v>1116.72</v>
      </c>
    </row>
    <row r="4" spans="1:3" x14ac:dyDescent="0.3">
      <c r="A4" s="1" t="s">
        <v>94</v>
      </c>
      <c r="B4">
        <v>17</v>
      </c>
      <c r="C4">
        <v>1139.3699999999999</v>
      </c>
    </row>
    <row r="5" spans="1:3" x14ac:dyDescent="0.3">
      <c r="A5" s="1" t="s">
        <v>95</v>
      </c>
      <c r="B5">
        <v>17</v>
      </c>
      <c r="C5">
        <v>1136.22</v>
      </c>
    </row>
    <row r="6" spans="1:3" x14ac:dyDescent="0.3">
      <c r="A6" s="1" t="s">
        <v>96</v>
      </c>
      <c r="B6">
        <v>16</v>
      </c>
      <c r="C6">
        <v>1154.28</v>
      </c>
    </row>
    <row r="7" spans="1:3" x14ac:dyDescent="0.3">
      <c r="A7" s="1" t="s">
        <v>97</v>
      </c>
      <c r="B7">
        <v>16</v>
      </c>
      <c r="C7">
        <v>996.6</v>
      </c>
    </row>
    <row r="8" spans="1:3" x14ac:dyDescent="0.3">
      <c r="A8" s="1" t="s">
        <v>98</v>
      </c>
      <c r="B8">
        <v>15</v>
      </c>
      <c r="C8">
        <v>983.05</v>
      </c>
    </row>
    <row r="9" spans="1:3" x14ac:dyDescent="0.3">
      <c r="A9" s="1" t="s">
        <v>99</v>
      </c>
      <c r="B9">
        <v>14</v>
      </c>
      <c r="C9">
        <v>982.27</v>
      </c>
    </row>
    <row r="10" spans="1:3" x14ac:dyDescent="0.3">
      <c r="A10" s="1" t="s">
        <v>100</v>
      </c>
      <c r="B10">
        <v>14</v>
      </c>
      <c r="C10">
        <v>948.19</v>
      </c>
    </row>
    <row r="11" spans="1:3" x14ac:dyDescent="0.3">
      <c r="A11" s="1" t="s">
        <v>101</v>
      </c>
      <c r="B11">
        <v>14</v>
      </c>
      <c r="C11">
        <v>1041.1600000000001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6DCDF-A06C-4F22-B55F-80AF36692B1B}">
  <dimension ref="A1:D5"/>
  <sheetViews>
    <sheetView workbookViewId="0"/>
  </sheetViews>
  <sheetFormatPr defaultRowHeight="14.4" x14ac:dyDescent="0.3"/>
  <cols>
    <col min="1" max="1" width="19.5546875" bestFit="1" customWidth="1"/>
    <col min="2" max="2" width="16.88671875" bestFit="1" customWidth="1"/>
    <col min="3" max="3" width="17.44140625" bestFit="1" customWidth="1"/>
    <col min="4" max="4" width="18.33203125" bestFit="1" customWidth="1"/>
  </cols>
  <sheetData>
    <row r="1" spans="1:4" x14ac:dyDescent="0.3">
      <c r="A1" t="s">
        <v>85</v>
      </c>
      <c r="B1" t="s">
        <v>86</v>
      </c>
      <c r="C1" t="s">
        <v>10</v>
      </c>
      <c r="D1" t="s">
        <v>102</v>
      </c>
    </row>
    <row r="2" spans="1:4" x14ac:dyDescent="0.3">
      <c r="A2" s="1" t="s">
        <v>87</v>
      </c>
      <c r="B2">
        <v>628</v>
      </c>
      <c r="C2">
        <v>1116.6400000000001</v>
      </c>
      <c r="D2">
        <v>25.32</v>
      </c>
    </row>
    <row r="3" spans="1:4" x14ac:dyDescent="0.3">
      <c r="A3" s="1" t="s">
        <v>88</v>
      </c>
      <c r="B3">
        <v>600</v>
      </c>
      <c r="C3">
        <v>1102.1500000000001</v>
      </c>
      <c r="D3">
        <v>24.99</v>
      </c>
    </row>
    <row r="4" spans="1:4" x14ac:dyDescent="0.3">
      <c r="A4" s="1" t="s">
        <v>89</v>
      </c>
      <c r="B4">
        <v>633</v>
      </c>
      <c r="C4">
        <v>1101.47</v>
      </c>
      <c r="D4">
        <v>24.98</v>
      </c>
    </row>
    <row r="5" spans="1:4" x14ac:dyDescent="0.3">
      <c r="A5" s="1" t="s">
        <v>90</v>
      </c>
      <c r="B5">
        <v>639</v>
      </c>
      <c r="C5">
        <v>1089.47</v>
      </c>
      <c r="D5">
        <v>24.71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B11FF-806F-4E8E-B2EF-96FEBA673EEB}">
  <dimension ref="A1"/>
  <sheetViews>
    <sheetView workbookViewId="0">
      <selection activeCell="C4" sqref="C4"/>
    </sheetView>
  </sheetViews>
  <sheetFormatPr defaultRowHeight="14.4" x14ac:dyDescent="0.3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FF741-2C4B-4FBF-AFCF-7BBB74CFD4D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A568526-A653-4875-894C-F24DAAD701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total_revenue</vt:lpstr>
      <vt:lpstr>delivery_status</vt:lpstr>
      <vt:lpstr>monthly_revenue_trend</vt:lpstr>
      <vt:lpstr>rank_products</vt:lpstr>
      <vt:lpstr>payment_method_analysis</vt:lpstr>
      <vt:lpstr>revenue_and_margin_by_category</vt:lpstr>
      <vt:lpstr>revenue_by_category</vt:lpstr>
      <vt:lpstr>top_10_revenue_by_category</vt:lpstr>
      <vt:lpstr>pareto_analysis</vt:lpstr>
      <vt:lpstr>Sheet1</vt:lpstr>
      <vt:lpstr>customer_segments</vt:lpstr>
      <vt:lpstr>top_areas</vt:lpstr>
      <vt:lpstr>segment_window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Aarav Sapra</dc:creator>
  <cp:lastModifiedBy>Aarav Sapra</cp:lastModifiedBy>
  <dcterms:created xsi:type="dcterms:W3CDTF">2026-06-26T17:59:34Z</dcterms:created>
  <dcterms:modified xsi:type="dcterms:W3CDTF">2026-06-28T12:06:45Z</dcterms:modified>
</cp:coreProperties>
</file>